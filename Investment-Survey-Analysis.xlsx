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6684b705c60aa1b/Desktop/"/>
    </mc:Choice>
  </mc:AlternateContent>
  <xr:revisionPtr revIDLastSave="0" documentId="8_{572520EF-4BE2-4A31-B1B4-59DF787B112B}" xr6:coauthVersionLast="47" xr6:coauthVersionMax="47" xr10:uidLastSave="{00000000-0000-0000-0000-000000000000}"/>
  <bookViews>
    <workbookView xWindow="-108" yWindow="-108" windowWidth="23256" windowHeight="12456" activeTab="7" xr2:uid="{41BAFC3C-C2D0-4C07-82A6-EEF851E827CA}"/>
  </bookViews>
  <sheets>
    <sheet name="Data_set 2" sheetId="2" r:id="rId1"/>
    <sheet name="Gender Distribution" sheetId="1" r:id="rId2"/>
    <sheet name="Investment Preference &amp; Reasons" sheetId="3" r:id="rId3"/>
    <sheet name="Objective &amp; Source" sheetId="4" r:id="rId4"/>
    <sheet name="Duration &amp; Expectation" sheetId="5" r:id="rId5"/>
    <sheet name="Data Preparation for Task 5" sheetId="6" r:id="rId6"/>
    <sheet name="Correlation Charts" sheetId="7" r:id="rId7"/>
    <sheet name="Dashboard" sheetId="8" r:id="rId8"/>
  </sheets>
  <definedNames>
    <definedName name="ExternalData_1" localSheetId="0" hidden="1">'Data_set 2'!$A$1:$X$41</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6" l="1"/>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H4" i="6" l="1"/>
  <c r="H3" i="6"/>
  <c r="H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9C7A56-9720-44E2-A065-0E069DCCE0D4}" keepAlive="1" name="Query - Data_set 2" description="Connection to the 'Data_set 2' query in the workbook." type="5" refreshedVersion="8" background="1" saveData="1">
    <dbPr connection="Provider=Microsoft.Mashup.OleDb.1;Data Source=$Workbook$;Location=&quot;Data_set 2&quot;;Extended Properties=&quot;&quot;" command="SELECT * FROM [Data_set 2]"/>
  </connection>
</connections>
</file>

<file path=xl/sharedStrings.xml><?xml version="1.0" encoding="utf-8"?>
<sst xmlns="http://schemas.openxmlformats.org/spreadsheetml/2006/main" count="898" uniqueCount="121">
  <si>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</si>
  <si>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</si>
  <si>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</si>
  <si>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</si>
  <si>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</si>
  <si>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</si>
  <si>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</si>
  <si>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</si>
  <si>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</si>
  <si>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</si>
  <si>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</si>
  <si>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</si>
  <si>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</si>
  <si>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</si>
  <si>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</si>
  <si>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</si>
  <si>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</si>
  <si>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</si>
  <si>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</si>
  <si>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</si>
  <si>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</si>
  <si>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</si>
  <si>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</si>
  <si>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</si>
  <si>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</si>
  <si>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</si>
  <si>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</si>
  <si>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</si>
  <si>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</si>
  <si>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</si>
  <si>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</si>
  <si>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</si>
  <si>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</si>
  <si>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</si>
  <si>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</si>
  <si>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</si>
  <si>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</si>
  <si>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</si>
  <si>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</si>
  <si>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</si>
  <si>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</si>
  <si>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</si>
  <si>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</si>
  <si>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</si>
  <si>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</si>
  <si>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</si>
  <si>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</si>
  <si>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</si>
  <si>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</si>
  <si>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</si>
  <si>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</si>
  <si>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</si>
  <si>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</si>
  <si>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</si>
  <si>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</si>
  <si>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</si>
  <si>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</si>
  <si>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</si>
  <si>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</si>
  <si>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</si>
  <si>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</si>
  <si>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</si>
  <si>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</si>
  <si>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</si>
  <si>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</si>
  <si>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</si>
  <si>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</si>
  <si>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</si>
  <si>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</si>
  <si>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</si>
  <si>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Count of gender</t>
  </si>
  <si>
    <t>Count of Avenue</t>
  </si>
  <si>
    <t>Column Labels</t>
  </si>
  <si>
    <t>1. Financial Consultants are the most trusted source, with 16 participants relying on them for investment-related information.</t>
  </si>
  <si>
    <t>2. Newspapers &amp; Magazines are the second most common source, used by 14 participants, showing that traditional media still plays a significant role.</t>
  </si>
  <si>
    <t>3. Internet (4 participants) and Television (6 participants) are the least preferred information sources, indicating lower dependence on digital and TV channels for investment guidance in this dataset.</t>
  </si>
  <si>
    <t>1. Retirement Planning is the top savings objective, with 24 out of 40 participants (60%) prioritizing it over other financial goals.</t>
  </si>
  <si>
    <t>2. Health Care is the second most common objective, accounting for 13 participants (33%), indicating that medical expenses are also an important financial concern.</t>
  </si>
  <si>
    <t>3. Education has the lowest priority, with only 3 participants (7%) selecting it as their primary savings objective.</t>
  </si>
  <si>
    <t>Number of Participants</t>
  </si>
  <si>
    <t>Participants</t>
  </si>
  <si>
    <t>1.)The dataset consists of 40 respondents, including 25 males (63%) and 15 females (37%).</t>
  </si>
  <si>
    <t>2.)Male participants constitute the majority of the survey population.</t>
  </si>
  <si>
    <t>3.)Female participation is comparatively lower than male participation.</t>
  </si>
  <si>
    <t>4.)The survey sample is not evenly distributed by gender, which may influence the overall analysis.</t>
  </si>
  <si>
    <t>1.)Mutual Funds are the most preferred investment avenue, chosen by 18 out of 40 investors.</t>
  </si>
  <si>
    <t xml:space="preserve">    3.)Equity and Fixed Deposits have moderate popularity, indicating that investors prefer a mix of growth-oriented and relatively safer investments.</t>
  </si>
  <si>
    <t xml:space="preserve">   2.)Public Provident Fund has the lowest preference among the available investment options.</t>
  </si>
  <si>
    <t xml:space="preserve">   1.)Capital Appreciation is the primary objective across all investment avenues.</t>
  </si>
  <si>
    <t xml:space="preserve">   2.)Most Mutual Fund investors are focused on capital appreciation, making it the dominant investment objective.</t>
  </si>
  <si>
    <t xml:space="preserve">   3.)Income is the least common investment objective compared to capital appreciation and growth.</t>
  </si>
  <si>
    <t xml:space="preserve"> </t>
  </si>
  <si>
    <t xml:space="preserve">   4.)Overall, the dataset suggests that investors prioritize long-term wealth creation over regular income.</t>
  </si>
  <si>
    <t>Count of Expect</t>
  </si>
  <si>
    <t xml:space="preserve">         indicating a preference for medium-term investments.</t>
  </si>
  <si>
    <t>2.)1–3 years (18) is also a highly preferred investment duration.</t>
  </si>
  <si>
    <t xml:space="preserve">3.)Very few participants prefer less than 1 year (2) or more than 5 years (1), </t>
  </si>
  <si>
    <t>1.)The majority of participants prefer investing for 3–5 years (19).</t>
  </si>
  <si>
    <r>
      <t>Note:</t>
    </r>
    <r>
      <rPr>
        <sz val="11"/>
        <color theme="1"/>
        <rFont val="Calibri"/>
        <family val="2"/>
        <scheme val="minor"/>
      </rPr>
      <t xml:space="preserve"> Since the dataset contains categorical values, Excel Pivot Charts do not support a true Histogram. Therefore, a Column Chart with </t>
    </r>
    <r>
      <rPr>
        <b/>
        <sz val="11"/>
        <color theme="1"/>
        <rFont val="Calibri"/>
        <family val="2"/>
        <scheme val="minor"/>
      </rPr>
      <t>0% Gap Width</t>
    </r>
    <r>
      <rPr>
        <sz val="11"/>
        <color theme="1"/>
        <rFont val="Calibri"/>
        <family val="2"/>
        <scheme val="minor"/>
      </rPr>
      <t xml:space="preserve"> was used to create a histogram-like visualization.</t>
    </r>
  </si>
  <si>
    <t>1. Most participants expect a return of 20%–30%, with 32 out of 40 participants selecting this range.</t>
  </si>
  <si>
    <t>2. Only a few participants expect returns of 10%–20% (3) or 30%–40% (5), indicating lower preference for these ranges.</t>
  </si>
  <si>
    <t>3. The results suggest that participants have moderate to high return expectations, with the majority targeting the 20%–30% return range.</t>
  </si>
  <si>
    <t>Column1</t>
  </si>
  <si>
    <t>Duration_Code</t>
  </si>
  <si>
    <t>Expect_Code</t>
  </si>
  <si>
    <t>Code</t>
  </si>
  <si>
    <t>Correlation Analysis</t>
  </si>
  <si>
    <t>Age V/S Duration</t>
  </si>
  <si>
    <t>Age V/S Expect</t>
  </si>
  <si>
    <t>Duration V/S Expect</t>
  </si>
  <si>
    <t>1. Age and investment duration show a very weak positive correlation (0.08), indicating almost no relationship.</t>
  </si>
  <si>
    <t>2. Age and expected returns have a very weak negative correlation (-0.09), suggesting age does not significantly influence return expectations.</t>
  </si>
  <si>
    <t xml:space="preserve">3. Investment duration and expected returns show a weak positive correlation (0.27), indicating that participants investing for longer durations </t>
  </si>
  <si>
    <t xml:space="preserve">           tend to expect slightly higher returns.</t>
  </si>
  <si>
    <t>1. Most participants are concentrated in the 2–3 duration codes with 2 (20–30%) expected return, showing this is the most common investment preference.</t>
  </si>
  <si>
    <t>2. Larger bubbles (older participants) are spread across different investment durations, indicating age does not strongly affect investment choices.</t>
  </si>
  <si>
    <t>3. The chart supports a slight positive relationship between investment duration and expected returns, but the overall trend remains weak.</t>
  </si>
  <si>
    <t xml:space="preserve"> Key Insights</t>
  </si>
  <si>
    <t>Key Insights</t>
  </si>
  <si>
    <t xml:space="preserve">Key Insights </t>
  </si>
  <si>
    <t>Excel Dashboard | Cognifyz 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</si>
</sst>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3.5"/>
      <color theme="1"/>
      <name val="Calibri"/>
      <family val="2"/>
      <scheme val="minor"/>
    </font>
    <font>
      <b/>
      <sz val="11"/>
      <color theme="1"/>
      <name val="Calibri"/>
      <family val="2"/>
      <scheme val="minor"/>
    </font>
    <font>
      <b/>
      <sz val="11"/>
      <color theme="0"/>
      <name val="Calibri"/>
      <family val="2"/>
      <scheme val="minor"/>
    </font>
    <font>
      <b/>
      <sz val="20"/>
      <color theme="1"/>
      <name val="Calibri"/>
      <family val="2"/>
      <scheme val="minor"/>
    </font>
    <font>
      <sz val="11"/>
      <color rgb="FF1F3A5F"/>
      <name val="Calibri"/>
      <family val="2"/>
      <scheme val="minor"/>
    </font>
    <font>
      <sz val="8"/>
      <color rgb="FF1F3A5F"/>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249977111117893"/>
        <bgColor indexed="64"/>
      </patternFill>
    </fill>
    <fill>
      <patternFill patternType="solid">
        <fgColor theme="0"/>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pivotButton="1"/>
    <xf numFmtId="0" fontId="0" fillId="0" borderId="0" xfId="0" applyAlignment="1">
      <alignment horizontal="left"/>
    </xf>
    <xf numFmtId="0" fontId="1" fillId="0" borderId="0" xfId="0" applyFont="1" applyAlignment="1">
      <alignment vertical="center"/>
    </xf>
    <xf numFmtId="0" fontId="0" fillId="0" borderId="0" xfId="0" applyAlignment="1">
      <alignment horizontal="left" vertical="center" indent="1"/>
    </xf>
    <xf numFmtId="0" fontId="0" fillId="0" borderId="1" xfId="0" applyBorder="1" applyAlignment="1">
      <alignment horizontal="left" vertical="center" indent="1"/>
    </xf>
    <xf numFmtId="0" fontId="0" fillId="0" borderId="4" xfId="0" applyBorder="1" applyAlignment="1">
      <alignment horizontal="left" vertical="center" indent="1"/>
    </xf>
    <xf numFmtId="0" fontId="0" fillId="0" borderId="6" xfId="0" applyBorder="1" applyAlignment="1">
      <alignment horizontal="left" vertical="center" indent="1"/>
    </xf>
    <xf numFmtId="0" fontId="0" fillId="0" borderId="2" xfId="0" applyBorder="1"/>
    <xf numFmtId="0" fontId="0" fillId="0" borderId="3" xfId="0" applyBorder="1"/>
    <xf numFmtId="0" fontId="0" fillId="0" borderId="5" xfId="0" applyBorder="1"/>
    <xf numFmtId="0" fontId="0" fillId="0" borderId="4" xfId="0" applyBorder="1" applyAlignment="1">
      <alignment vertical="center"/>
    </xf>
    <xf numFmtId="0" fontId="0" fillId="0" borderId="7" xfId="0" applyBorder="1"/>
    <xf numFmtId="0" fontId="0" fillId="0" borderId="8" xfId="0" applyBorder="1"/>
    <xf numFmtId="0" fontId="0" fillId="0" borderId="0" xfId="0" applyAlignment="1">
      <alignment vertical="center"/>
    </xf>
    <xf numFmtId="0" fontId="0" fillId="0" borderId="0" xfId="0" applyAlignment="1">
      <alignment horizontal="center"/>
    </xf>
    <xf numFmtId="0" fontId="0" fillId="0" borderId="10" xfId="0" applyBorder="1"/>
    <xf numFmtId="0" fontId="2"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0" fontId="3" fillId="2" borderId="9" xfId="0" applyFont="1" applyFill="1" applyBorder="1"/>
    <xf numFmtId="0" fontId="3" fillId="2" borderId="11" xfId="0" applyFont="1" applyFill="1" applyBorder="1" applyAlignment="1">
      <alignment horizontal="center" vertical="center" wrapText="1"/>
    </xf>
    <xf numFmtId="0" fontId="0" fillId="0" borderId="12" xfId="0" applyBorder="1"/>
    <xf numFmtId="0" fontId="4" fillId="0" borderId="0" xfId="0" applyFont="1" applyAlignment="1">
      <alignment horizontal="center" vertical="center"/>
    </xf>
    <xf numFmtId="0" fontId="4" fillId="0" borderId="0" xfId="0" applyFont="1" applyAlignment="1">
      <alignment vertical="center"/>
    </xf>
    <xf numFmtId="0" fontId="0" fillId="4" borderId="0" xfId="0" applyFill="1"/>
    <xf numFmtId="0" fontId="5" fillId="4" borderId="0" xfId="0" applyFont="1" applyFill="1"/>
    <xf numFmtId="0" fontId="0" fillId="4" borderId="0" xfId="0" applyFill="1" applyAlignment="1">
      <alignment horizontal="right"/>
    </xf>
    <xf numFmtId="0" fontId="3" fillId="4" borderId="0" xfId="0" applyFont="1" applyFill="1" applyAlignment="1">
      <alignment horizontal="center"/>
    </xf>
    <xf numFmtId="0" fontId="6" fillId="4" borderId="0" xfId="0" applyFont="1" applyFill="1" applyAlignment="1">
      <alignment horizontal="center"/>
    </xf>
    <xf numFmtId="0" fontId="0" fillId="4" borderId="0" xfId="0" applyFill="1" applyAlignment="1">
      <alignment horizontal="center"/>
    </xf>
    <xf numFmtId="0" fontId="0" fillId="0" borderId="1" xfId="0" applyBorder="1" applyAlignment="1">
      <alignment horizontal="left" vertical="center" indent="1"/>
    </xf>
    <xf numFmtId="0" fontId="0" fillId="0" borderId="2" xfId="0" applyBorder="1" applyAlignment="1">
      <alignment horizontal="left" vertical="center" indent="1"/>
    </xf>
    <xf numFmtId="0" fontId="0" fillId="0" borderId="3" xfId="0" applyBorder="1" applyAlignment="1">
      <alignment horizontal="left" vertical="center" indent="1"/>
    </xf>
    <xf numFmtId="0" fontId="0" fillId="0" borderId="4" xfId="0" applyBorder="1" applyAlignment="1">
      <alignment horizontal="left" vertical="center" indent="1"/>
    </xf>
    <xf numFmtId="0" fontId="0" fillId="0" borderId="0" xfId="0" applyAlignment="1">
      <alignment horizontal="left" vertical="center" indent="1"/>
    </xf>
    <xf numFmtId="0" fontId="0" fillId="0" borderId="5" xfId="0" applyBorder="1" applyAlignment="1">
      <alignment horizontal="left" vertical="center" indent="1"/>
    </xf>
    <xf numFmtId="0" fontId="0" fillId="0" borderId="6" xfId="0" applyBorder="1" applyAlignment="1">
      <alignment horizontal="left" vertical="center" indent="1"/>
    </xf>
    <xf numFmtId="0" fontId="0" fillId="0" borderId="7" xfId="0" applyBorder="1" applyAlignment="1">
      <alignment horizontal="left" vertical="center" indent="1"/>
    </xf>
    <xf numFmtId="0" fontId="0" fillId="0" borderId="8" xfId="0" applyBorder="1" applyAlignment="1">
      <alignment horizontal="left" vertical="center" indent="1"/>
    </xf>
    <xf numFmtId="0" fontId="4" fillId="0" borderId="0" xfId="0" applyFont="1" applyAlignment="1">
      <alignment horizontal="center" vertical="center"/>
    </xf>
    <xf numFmtId="0" fontId="4" fillId="0" borderId="7"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2" fillId="0" borderId="0" xfId="0" applyFont="1"/>
    <xf numFmtId="0" fontId="2" fillId="0" borderId="0" xfId="0" applyFont="1" applyAlignment="1">
      <alignment horizontal="left" vertical="center" indent="1"/>
    </xf>
    <xf numFmtId="0" fontId="2" fillId="0" borderId="5" xfId="0" applyFont="1" applyBorder="1" applyAlignment="1">
      <alignment horizontal="left" vertical="center" indent="1"/>
    </xf>
    <xf numFmtId="0" fontId="0" fillId="0" borderId="6" xfId="0" applyBorder="1"/>
    <xf numFmtId="0" fontId="0" fillId="0" borderId="7" xfId="0" applyBorder="1"/>
    <xf numFmtId="0" fontId="0" fillId="0" borderId="8" xfId="0" applyBorder="1"/>
    <xf numFmtId="0" fontId="3" fillId="3" borderId="12" xfId="0" applyFont="1" applyFill="1" applyBorder="1" applyAlignment="1">
      <alignment horizontal="center"/>
    </xf>
    <xf numFmtId="0" fontId="4" fillId="0" borderId="7" xfId="0" applyFont="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1">
    <cellStyle name="Normal" xfId="0" builtinId="0"/>
  </cellStyles>
  <dxfs count="28">
    <dxf>
      <numFmt numFmtId="0" formatCode="General"/>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alignment horizontal="right"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
      <fill>
        <patternFill patternType="solid">
          <fgColor rgb="FF0070C0"/>
          <bgColor theme="0"/>
        </patternFill>
      </fill>
      <border diagonalUp="0" diagonalDown="0">
        <left/>
        <right/>
        <top/>
        <bottom/>
        <vertical/>
        <horizontal/>
      </border>
    </dxf>
  </dxfs>
  <tableStyles count="3" defaultTableStyle="TableStyleMedium2" defaultPivotStyle="PivotStyleLight16">
    <tableStyle name="Slicer Style 1" pivot="0" table="0" count="0" xr9:uid="{710E2540-41BC-4D32-A3CB-0ED5E611D001}"/>
    <tableStyle name="Slicer Style 2" pivot="0" table="0" count="1" xr9:uid="{26582B3C-1C84-4EFF-BF2E-E5428CD7FA1F}">
      <tableStyleElement type="wholeTable" dxfId="27"/>
    </tableStyle>
    <tableStyle name="SlicerStyleDark1 2" pivot="0" table="0" count="10" xr9:uid="{3837EAE1-DAD7-4304-BB64-A95F7FFB32D5}">
      <tableStyleElement type="wholeTable" dxfId="26"/>
      <tableStyleElement type="headerRow" dxfId="25"/>
    </tableStyle>
  </tableStyles>
  <colors>
    <mruColors>
      <color rgb="FF1F3A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[Investment-Survey-Analysis.xlsx]Gender Distribution!PivotTable1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'Gender Distribution'!$B$2</c:f>
              <c:strCache>
                <c:ptCount val="1"/>
                <c:pt idx="0">
                  <c:v>Total</c:v>
                </c:pt>
              </c:strCache>
            </c:strRef>
          </c:tx>
          <c:dPt>
            <c:idx val="0"/>
            <c:bubble3D val="0"/>
            <c:explosion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5CF-4AC4-93D3-4C3F622663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0E-4E29-9B0E-64356FBE482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Distribution'!$A$3:$A$5</c:f>
              <c:strCache>
                <c:ptCount val="2"/>
                <c:pt idx="0">
                  <c:v>Female</c:v>
                </c:pt>
                <c:pt idx="1">
                  <c:v>Male</c:v>
                </c:pt>
              </c:strCache>
            </c:strRef>
          </c:cat>
          <c:val>
            <c:numRef>
              <c:f>'Gender Distribution'!$B$3:$B$5</c:f>
              <c:numCache>
                <c:formatCode>General</c:formatCode>
                <c:ptCount val="2"/>
                <c:pt idx="0">
                  <c:v>15</c:v>
                </c:pt>
                <c:pt idx="1">
                  <c:v>25</c:v>
                </c:pt>
              </c:numCache>
            </c:numRef>
          </c:val>
          <c:extLst>
            <c:ext xmlns:c16="http://schemas.microsoft.com/office/drawing/2014/chart" uri="{C3380CC4-5D6E-409C-BE32-E72D297353CC}">
              <c16:uniqueId val="{00000000-35CF-4AC4-93D3-4C3F622663A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1931496062992115"/>
          <c:y val="0.11169036162146394"/>
          <c:w val="0.118185039370078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[Investment-Survey-Analysis.xlsx]Investment Preference &amp; Reasons!PivotTable1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 Prefrences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8210697800334"/>
          <c:y val="0.16283483209124025"/>
          <c:w val="0.77244295288923737"/>
          <c:h val="0.66768794791117669"/>
        </c:manualLayout>
      </c:layout>
      <c:barChart>
        <c:barDir val="bar"/>
        <c:grouping val="clustered"/>
        <c:varyColors val="0"/>
        <c:ser>
          <c:idx val="0"/>
          <c:order val="0"/>
          <c:tx>
            <c:strRef>
              <c:f>'Investment Preference &amp; Reasons'!$B$3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'Investment Preference &amp; Reasons'!$A$4:$A$8</c:f>
              <c:strCache>
                <c:ptCount val="4"/>
                <c:pt idx="0">
                  <c:v>Equity</c:v>
                </c:pt>
                <c:pt idx="1">
                  <c:v>Fixed Deposits</c:v>
                </c:pt>
                <c:pt idx="2">
                  <c:v>Mutual Fund</c:v>
                </c:pt>
                <c:pt idx="3">
                  <c:v>Public Provident Fund</c:v>
                </c:pt>
              </c:strCache>
            </c:strRef>
          </c:cat>
          <c:val>
            <c:numRef>
              <c:f>'Investment Preference &amp; Reasons'!$B$4:$B$8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0-BE71-45F7-9CE0-5C4434F34755}"/>
            </c:ext>
          </c:extLst>
        </c:ser>
        <c:dLbls>
          <c:dLblPos val="outEnd"/>
          <c:showLegendKey val="0"/>
          <c:showVal val="1"/>
          <c:showCatName val="0"/>
          <c:showSerName val="0"/>
          <c:showPercent val="0"/>
          <c:showBubbleSize val="0"/>
        </c:dLbls>
        <c:gapWidth val="115"/>
        <c:overlap val="-20"/>
        <c:axId val="1748872015"/>
        <c:axId val="1748877775"/>
      </c:barChart>
      <c:catAx>
        <c:axId val="17488720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Type of Avenue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877775"/>
        <c:crosses val="autoZero"/>
        <c:auto val="1"/>
        <c:lblAlgn val="ctr"/>
        <c:lblOffset val="100"/>
        <c:noMultiLvlLbl val="0"/>
      </c:catAx>
      <c:valAx>
        <c:axId val="174887777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Avenue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8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Investment Preferences by Objective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53235245594983"/>
          <c:y val="0.10610960851503989"/>
          <c:w val="0.62327603966173717"/>
          <c:h val="0.8106881378939278"/>
        </c:manualLayout>
      </c:layout>
      <c:barChart>
        <c:barDir val="bar"/>
        <c:grouping val="stacked"/>
        <c:varyColors val="0"/>
        <c:ser>
          <c:idx val="0"/>
          <c:order val="0"/>
          <c:tx>
            <c:v>Capital Appreciation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Equity</c:v>
              </c:pt>
              <c:pt idx="1">
                <c:v>Fixed Deposits</c:v>
              </c:pt>
              <c:pt idx="2">
                <c:v>Mutual Fund</c:v>
              </c:pt>
              <c:pt idx="3">
                <c:v>Public Provident Fund</c:v>
              </c:pt>
            </c:strLit>
          </c:cat>
          <c:val>
            <c:numLit>
              <c:formatCode>General</c:formatCode>
              <c:ptCount val="4"/>
              <c:pt idx="0">
                <c:v>6</c:v>
              </c:pt>
              <c:pt idx="1">
                <c:v>6</c:v>
              </c:pt>
              <c:pt idx="2">
                <c:v>13</c:v>
              </c:pt>
              <c:pt idx="3">
                <c:v>1</c:v>
              </c:pt>
            </c:numLit>
          </c:val>
          <c:extLst>
            <c:ext xmlns:c16="http://schemas.microsoft.com/office/drawing/2014/chart" uri="{C3380CC4-5D6E-409C-BE32-E72D297353CC}">
              <c16:uniqueId val="{00000002-0690-4C0F-9DC9-D0F7421C7405}"/>
            </c:ext>
          </c:extLst>
        </c:ser>
        <c:ser>
          <c:idx val="1"/>
          <c:order val="1"/>
          <c:tx>
            <c:v>Growth</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Equity</c:v>
              </c:pt>
              <c:pt idx="1">
                <c:v>Fixed Deposits</c:v>
              </c:pt>
              <c:pt idx="2">
                <c:v>Mutual Fund</c:v>
              </c:pt>
              <c:pt idx="3">
                <c:v>Public Provident Fund</c:v>
              </c:pt>
            </c:strLit>
          </c:cat>
          <c:val>
            <c:numLit>
              <c:formatCode>General</c:formatCode>
              <c:ptCount val="4"/>
              <c:pt idx="0">
                <c:v>2</c:v>
              </c:pt>
              <c:pt idx="1">
                <c:v>3</c:v>
              </c:pt>
              <c:pt idx="2">
                <c:v>4</c:v>
              </c:pt>
              <c:pt idx="3">
                <c:v>2</c:v>
              </c:pt>
            </c:numLit>
          </c:val>
          <c:extLst>
            <c:ext xmlns:c16="http://schemas.microsoft.com/office/drawing/2014/chart" uri="{C3380CC4-5D6E-409C-BE32-E72D297353CC}">
              <c16:uniqueId val="{00000005-0690-4C0F-9DC9-D0F7421C7405}"/>
            </c:ext>
          </c:extLst>
        </c:ser>
        <c:ser>
          <c:idx val="2"/>
          <c:order val="2"/>
          <c:tx>
            <c:v>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Equity</c:v>
              </c:pt>
              <c:pt idx="1">
                <c:v>Fixed Deposits</c:v>
              </c:pt>
              <c:pt idx="2">
                <c:v>Mutual Fund</c:v>
              </c:pt>
              <c:pt idx="3">
                <c:v>Public Provident Fund</c:v>
              </c:pt>
            </c:strLit>
          </c:cat>
          <c:val>
            <c:numLit>
              <c:formatCode>General</c:formatCode>
              <c:ptCount val="4"/>
              <c:pt idx="0">
                <c:v>2</c:v>
              </c:pt>
              <c:pt idx="1">
                <c:v>0</c:v>
              </c:pt>
              <c:pt idx="2">
                <c:v>1</c:v>
              </c:pt>
              <c:pt idx="3">
                <c:v>0</c:v>
              </c:pt>
            </c:numLit>
          </c:val>
          <c:extLst>
            <c:ext xmlns:c16="http://schemas.microsoft.com/office/drawing/2014/chart" uri="{C3380CC4-5D6E-409C-BE32-E72D297353CC}">
              <c16:uniqueId val="{00000006-0690-4C0F-9DC9-D0F7421C7405}"/>
            </c:ext>
          </c:extLst>
        </c:ser>
        <c:dLbls>
          <c:showLegendKey val="0"/>
          <c:showVal val="0"/>
          <c:showCatName val="0"/>
          <c:showSerName val="0"/>
          <c:showPercent val="0"/>
          <c:showBubbleSize val="0"/>
        </c:dLbls>
        <c:gapWidth val="150"/>
        <c:overlap val="100"/>
        <c:axId val="1400553167"/>
        <c:axId val="1400556047"/>
      </c:barChart>
      <c:catAx>
        <c:axId val="1400553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556047"/>
        <c:crosses val="autoZero"/>
        <c:auto val="1"/>
        <c:lblAlgn val="ctr"/>
        <c:lblOffset val="100"/>
        <c:noMultiLvlLbl val="0"/>
      </c:catAx>
      <c:valAx>
        <c:axId val="14005560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55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[Investment-Survey-Analysis.xlsx]Objective &amp; Source!PivotTable1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Savings</a:t>
            </a:r>
            <a:r>
              <a:rPr lang="en-US" baseline="0"/>
              <a:t> Objective Distribution</a:t>
            </a:r>
            <a:endParaRPr lang="en-US"/>
          </a:p>
        </c:rich>
      </c:tx>
      <c:layout>
        <c:manualLayout>
          <c:xMode val="edge"/>
          <c:yMode val="edge"/>
          <c:x val="0.16541725248073635"/>
          <c:y val="4.40073342407919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62E-2"/>
              <c:y val="-9.318426015544549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27843394575678"/>
                  <c:h val="0.116730825313502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781E-2"/>
              <c:y val="0.1102923757441767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0.117757266414868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662423447069115"/>
          <c:y val="0.24635746338159342"/>
          <c:w val="0.43464938757655291"/>
          <c:h val="0.67300550334434006"/>
        </c:manualLayout>
      </c:layout>
      <c:doughnutChart>
        <c:varyColors val="1"/>
        <c:ser>
          <c:idx val="0"/>
          <c:order val="0"/>
          <c:tx>
            <c:strRef>
              <c:f>'Objective &amp; Source'!$B$3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6B7-4C84-85A6-7F8AE7043A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B7-4C84-85A6-7F8AE7043A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6B7-4C84-85A6-7F8AE7043A7B}"/>
              </c:ext>
            </c:extLst>
          </c:dPt>
          <c:dLbls>
            <c:dLbl>
              <c:idx val="0"/>
              <c:layout>
                <c:manualLayout>
                  <c:x val="1.1111111111111162E-2"/>
                  <c:y val="-9.3184260155445495E-2"/>
                </c:manualLayout>
              </c:layout>
              <c:showLegendKey val="0"/>
              <c:showVal val="0"/>
              <c:showCatName val="1"/>
              <c:showSerName val="0"/>
              <c:showPercent val="1"/>
              <c:showBubbleSize val="0"/>
              <c:extLst>
                <c:ext xmlns:c15="http://schemas.microsoft.com/office/drawing/2012/chart" uri="{CE6537A1-D6FC-4f65-9D91-7224C49458BB}">
                  <c15:layout>
                    <c:manualLayout>
                      <c:w val="0.11927843394575678"/>
                      <c:h val="0.11673082531350248"/>
                    </c:manualLayout>
                  </c15:layout>
                </c:ext>
                <c:ext xmlns:c16="http://schemas.microsoft.com/office/drawing/2014/chart" uri="{C3380CC4-5D6E-409C-BE32-E72D297353CC}">
                  <c16:uniqueId val="{00000002-86B7-4C84-85A6-7F8AE7043A7B}"/>
                </c:ext>
              </c:extLst>
            </c:dLbl>
            <c:dLbl>
              <c:idx val="1"/>
              <c:layout>
                <c:manualLayout>
                  <c:x val="8.8888888888888781E-2"/>
                  <c:y val="0.110292375744176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B7-4C84-85A6-7F8AE7043A7B}"/>
                </c:ext>
              </c:extLst>
            </c:dLbl>
            <c:dLbl>
              <c:idx val="2"/>
              <c:layout>
                <c:manualLayout>
                  <c:x val="-8.611111111111111E-2"/>
                  <c:y val="-0.117757266414868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6B7-4C84-85A6-7F8AE7043A7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'Objective &amp; Source'!$A$4:$A$7</c:f>
              <c:strCache>
                <c:ptCount val="3"/>
                <c:pt idx="0">
                  <c:v>Education</c:v>
                </c:pt>
                <c:pt idx="1">
                  <c:v>Health Care</c:v>
                </c:pt>
                <c:pt idx="2">
                  <c:v>Retirement Plan</c:v>
                </c:pt>
              </c:strCache>
            </c:strRef>
          </c:cat>
          <c:val>
            <c:numRef>
              <c:f>'Objective &amp; Source'!$B$4:$B$7</c:f>
              <c:numCache>
                <c:formatCode>General</c:formatCode>
                <c:ptCount val="3"/>
                <c:pt idx="0">
                  <c:v>3</c:v>
                </c:pt>
                <c:pt idx="1">
                  <c:v>13</c:v>
                </c:pt>
                <c:pt idx="2">
                  <c:v>24</c:v>
                </c:pt>
              </c:numCache>
            </c:numRef>
          </c:val>
          <c:extLst>
            <c:ext xmlns:c16="http://schemas.microsoft.com/office/drawing/2014/chart" uri="{C3380CC4-5D6E-409C-BE32-E72D297353CC}">
              <c16:uniqueId val="{00000000-86B7-4C84-85A6-7F8AE7043A7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[Investment-Survey-Analysis.xlsx]Objective &amp; Source!PivotTable2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a:t>
            </a:r>
            <a:r>
              <a:rPr lang="en-US" baseline="0"/>
              <a:t> Information Sources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&amp; Source'!$B$26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&amp; Source'!$A$27:$A$31</c:f>
              <c:strCache>
                <c:ptCount val="4"/>
                <c:pt idx="0">
                  <c:v>Financial Consultants</c:v>
                </c:pt>
                <c:pt idx="1">
                  <c:v>Internet</c:v>
                </c:pt>
                <c:pt idx="2">
                  <c:v>Newspapers and Magazines</c:v>
                </c:pt>
                <c:pt idx="3">
                  <c:v>Television</c:v>
                </c:pt>
              </c:strCache>
            </c:strRef>
          </c:cat>
          <c:val>
            <c:numRef>
              <c:f>'Objective &amp; Source'!$B$27:$B$31</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0-42F4-4D30-A16E-CEE7CD3F0D3F}"/>
            </c:ext>
          </c:extLst>
        </c:ser>
        <c:dLbls>
          <c:dLblPos val="outEnd"/>
          <c:showLegendKey val="0"/>
          <c:showVal val="1"/>
          <c:showCatName val="0"/>
          <c:showSerName val="0"/>
          <c:showPercent val="0"/>
          <c:showBubbleSize val="0"/>
        </c:dLbls>
        <c:gapWidth val="115"/>
        <c:overlap val="-20"/>
        <c:axId val="2005692703"/>
        <c:axId val="704081423"/>
      </c:barChart>
      <c:catAx>
        <c:axId val="20056927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information Sources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081423"/>
        <c:crosses val="autoZero"/>
        <c:auto val="1"/>
        <c:lblAlgn val="ctr"/>
        <c:lblOffset val="100"/>
        <c:noMultiLvlLbl val="0"/>
      </c:catAx>
      <c:valAx>
        <c:axId val="7040814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participants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69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[Investment-Survey-Analysis.xlsx]Duration &amp; Expectation!PivotTable2</c:name>
    <c:fmtId val="1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baseline="0"/>
              <a:t>Investment Return Expectations </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IN"/>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'Duration &amp; Expectation'!$B$23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'Duration &amp; Expectation'!$A$24:$A$27</c:f>
              <c:strCache>
                <c:ptCount val="3"/>
                <c:pt idx="0">
                  <c:v>10%-20%</c:v>
                </c:pt>
                <c:pt idx="1">
                  <c:v>20%-30%</c:v>
                </c:pt>
                <c:pt idx="2">
                  <c:v>30%-40%</c:v>
                </c:pt>
              </c:strCache>
            </c:strRef>
          </c:cat>
          <c:val>
            <c:numRef>
              <c:f>'Duration &amp; Expectation'!$B$24:$B$27</c:f>
              <c:numCache>
                <c:formatCode>General</c:formatCode>
                <c:ptCount val="3"/>
                <c:pt idx="0">
                  <c:v>3</c:v>
                </c:pt>
                <c:pt idx="1">
                  <c:v>32</c:v>
                </c:pt>
                <c:pt idx="2">
                  <c:v>5</c:v>
                </c:pt>
              </c:numCache>
            </c:numRef>
          </c:val>
          <c:extLst>
            <c:ext xmlns:c16="http://schemas.microsoft.com/office/drawing/2014/chart" uri="{C3380CC4-5D6E-409C-BE32-E72D297353CC}">
              <c16:uniqueId val="{00000000-4225-40B4-BA3F-125D2AC1F039}"/>
            </c:ext>
          </c:extLst>
        </c:ser>
        <c:dLbls>
          <c:showLegendKey val="0"/>
          <c:showVal val="0"/>
          <c:showCatName val="0"/>
          <c:showSerName val="0"/>
          <c:showPercent val="0"/>
          <c:showBubbleSize val="0"/>
        </c:dLbls>
        <c:axId val="1920357040"/>
        <c:axId val="1835323632"/>
      </c:radarChart>
      <c:catAx>
        <c:axId val="1920357040"/>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323632"/>
        <c:crosses val="autoZero"/>
        <c:auto val="1"/>
        <c:lblAlgn val="ctr"/>
        <c:lblOffset val="100"/>
        <c:noMultiLvlLbl val="0"/>
      </c:catAx>
      <c:valAx>
        <c:axId val="1835323632"/>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03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[Investment-Survey-Analysis.xlsx]Duration &amp; Expectation!PivotTable1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a:t>
            </a:r>
            <a:r>
              <a:rPr lang="en-US" baseline="0"/>
              <a:t> Duration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84047454133083E-2"/>
          <c:y val="0.17021800129351553"/>
          <c:w val="0.87528207789459989"/>
          <c:h val="0.62485228316919161"/>
        </c:manualLayout>
      </c:layout>
      <c:barChart>
        <c:barDir val="col"/>
        <c:grouping val="clustered"/>
        <c:varyColors val="0"/>
        <c:ser>
          <c:idx val="0"/>
          <c:order val="0"/>
          <c:tx>
            <c:strRef>
              <c:f>'Duration &amp; Expectation'!$B$3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'Duration &amp; Expectation'!$A$4:$A$8</c:f>
              <c:strCache>
                <c:ptCount val="4"/>
                <c:pt idx="0">
                  <c:v>Less than 1 year</c:v>
                </c:pt>
                <c:pt idx="1">
                  <c:v>1-3 years</c:v>
                </c:pt>
                <c:pt idx="2">
                  <c:v>3-5 years</c:v>
                </c:pt>
                <c:pt idx="3">
                  <c:v>More than 5 years</c:v>
                </c:pt>
              </c:strCache>
            </c:strRef>
          </c:cat>
          <c:val>
            <c:numRef>
              <c:f>'Duration &amp; Expectation'!$B$4:$B$8</c:f>
              <c:numCache>
                <c:formatCode>General</c:formatCode>
                <c:ptCount val="4"/>
                <c:pt idx="0">
                  <c:v>2</c:v>
                </c:pt>
                <c:pt idx="1">
                  <c:v>18</c:v>
                </c:pt>
                <c:pt idx="2">
                  <c:v>19</c:v>
                </c:pt>
                <c:pt idx="3">
                  <c:v>1</c:v>
                </c:pt>
              </c:numCache>
            </c:numRef>
          </c:val>
          <c:extLst>
            <c:ext xmlns:c16="http://schemas.microsoft.com/office/drawing/2014/chart" uri="{C3380CC4-5D6E-409C-BE32-E72D297353CC}">
              <c16:uniqueId val="{00000000-6965-49CD-A22E-D9210937EAB8}"/>
            </c:ext>
          </c:extLst>
        </c:ser>
        <c:dLbls>
          <c:dLblPos val="outEnd"/>
          <c:showLegendKey val="0"/>
          <c:showVal val="1"/>
          <c:showCatName val="0"/>
          <c:showSerName val="0"/>
          <c:showPercent val="0"/>
          <c:showBubbleSize val="0"/>
        </c:dLbls>
        <c:gapWidth val="0"/>
        <c:overlap val="-24"/>
        <c:axId val="1918424400"/>
        <c:axId val="1835298192"/>
      </c:barChart>
      <c:catAx>
        <c:axId val="1918424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Duration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298192"/>
        <c:crosses val="autoZero"/>
        <c:auto val="1"/>
        <c:lblAlgn val="ctr"/>
        <c:lblOffset val="100"/>
        <c:noMultiLvlLbl val="0"/>
      </c:catAx>
      <c:valAx>
        <c:axId val="18352981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aseline="0"/>
                  <a:t> participants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4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Investment Duration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Duration_Code</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'Data Preparation for Task 5'!$A$2:$A$41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'Data Preparation for Task 5'!$D$2:$D$41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0-B737-41B5-A810-BAAC13DA7263}"/>
            </c:ext>
          </c:extLst>
        </c:ser>
        <c:dLbls>
          <c:showLegendKey val="0"/>
          <c:showVal val="0"/>
          <c:showCatName val="0"/>
          <c:showSerName val="0"/>
          <c:showPercent val="0"/>
          <c:showBubbleSize val="0"/>
        </c:dLbls>
        <c:axId val="1852307775"/>
        <c:axId val="441231375"/>
      </c:scatterChart>
      <c:valAx>
        <c:axId val="185230777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(Years)</a:t>
                </a:r>
              </a:p>
            </c:rich>
          </c:tx>
          <c:layout>
            <c:manualLayout>
              <c:xMode val="edge"/>
              <c:yMode val="edge"/>
              <c:x val="0.46047910600609587"/>
              <c:y val="0.874964493709024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1231375"/>
        <c:crosses val="autoZero"/>
        <c:crossBetween val="midCat"/>
      </c:valAx>
      <c:valAx>
        <c:axId val="44123137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Investment</a:t>
                </a:r>
                <a:r>
                  <a:rPr lang="en-IN" baseline="0"/>
                  <a:t> Duration Code </a:t>
                </a:r>
                <a:endParaRPr lang="en-IN"/>
              </a:p>
            </c:rich>
          </c:tx>
          <c:layout>
            <c:manualLayout>
              <c:xMode val="edge"/>
              <c:yMode val="edge"/>
              <c:x val="2.4714241581711462E-2"/>
              <c:y val="0.20274256338180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2307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Expected Returns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Expected Returns</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'Data Preparation for Task 5'!$B$2:$B$41</c:f>
              <c:strCache>
                <c:ptCount val="40"/>
                <c:pt idx="0">
                  <c:v>1-3 years</c:v>
                </c:pt>
                <c:pt idx="1">
                  <c:v>More than 5 years</c:v>
                </c:pt>
                <c:pt idx="2">
                  <c:v>3-5 years</c:v>
                </c:pt>
                <c:pt idx="3">
                  <c:v>Less than 1 year</c:v>
                </c:pt>
                <c:pt idx="4">
                  <c:v>Less than 1 year</c:v>
                </c:pt>
                <c:pt idx="5">
                  <c:v>1-3 years</c:v>
                </c:pt>
                <c:pt idx="6">
                  <c:v>3-5 years</c:v>
                </c:pt>
                <c:pt idx="7">
                  <c:v>3-5 years</c:v>
                </c:pt>
                <c:pt idx="8">
                  <c:v>1-3 years</c:v>
                </c:pt>
                <c:pt idx="9">
                  <c:v>3-5 years</c:v>
                </c:pt>
                <c:pt idx="10">
                  <c:v>3-5 years</c:v>
                </c:pt>
                <c:pt idx="11">
                  <c:v>1-3 years</c:v>
                </c:pt>
                <c:pt idx="12">
                  <c:v>1-3 years</c:v>
                </c:pt>
                <c:pt idx="13">
                  <c:v>1-3 years</c:v>
                </c:pt>
                <c:pt idx="14">
                  <c:v>1-3 years</c:v>
                </c:pt>
                <c:pt idx="15">
                  <c:v>1-3 years</c:v>
                </c:pt>
                <c:pt idx="16">
                  <c:v>1-3 years</c:v>
                </c:pt>
                <c:pt idx="17">
                  <c:v>1-3 years</c:v>
                </c:pt>
                <c:pt idx="18">
                  <c:v>1-3 years</c:v>
                </c:pt>
                <c:pt idx="19">
                  <c:v>3-5 years</c:v>
                </c:pt>
                <c:pt idx="20">
                  <c:v>3-5 years</c:v>
                </c:pt>
                <c:pt idx="21">
                  <c:v>3-5 years</c:v>
                </c:pt>
                <c:pt idx="22">
                  <c:v>3-5 years</c:v>
                </c:pt>
                <c:pt idx="23">
                  <c:v>3-5 years</c:v>
                </c:pt>
                <c:pt idx="24">
                  <c:v>3-5 years</c:v>
                </c:pt>
                <c:pt idx="25">
                  <c:v>3-5 years</c:v>
                </c:pt>
                <c:pt idx="26">
                  <c:v>3-5 years</c:v>
                </c:pt>
                <c:pt idx="27">
                  <c:v>1-3 years</c:v>
                </c:pt>
                <c:pt idx="28">
                  <c:v>1-3 years</c:v>
                </c:pt>
                <c:pt idx="29">
                  <c:v>3-5 years</c:v>
                </c:pt>
                <c:pt idx="30">
                  <c:v>1-3 years</c:v>
                </c:pt>
                <c:pt idx="31">
                  <c:v>3-5 years</c:v>
                </c:pt>
                <c:pt idx="32">
                  <c:v>3-5 years</c:v>
                </c:pt>
                <c:pt idx="33">
                  <c:v>1-3 years</c:v>
                </c:pt>
                <c:pt idx="34">
                  <c:v>1-3 years</c:v>
                </c:pt>
                <c:pt idx="35">
                  <c:v>3-5 years</c:v>
                </c:pt>
                <c:pt idx="36">
                  <c:v>1-3 years</c:v>
                </c:pt>
                <c:pt idx="37">
                  <c:v>3-5 years</c:v>
                </c:pt>
                <c:pt idx="38">
                  <c:v>1-3 years</c:v>
                </c:pt>
                <c:pt idx="39">
                  <c:v>3-5 years</c:v>
                </c:pt>
              </c:strCache>
            </c:strRef>
          </c:xVal>
          <c:yVal>
            <c:numRef>
              <c:f>'Data Preparation for Task 5'!$E$2:$E$41</c:f>
              <c:numCache>
                <c:formatCode>General</c:formatCode>
                <c:ptCount val="40"/>
                <c:pt idx="0">
                  <c:v>2</c:v>
                </c:pt>
                <c:pt idx="1">
                  <c:v>2</c:v>
                </c:pt>
                <c:pt idx="2">
                  <c:v>2</c:v>
                </c:pt>
                <c:pt idx="3">
                  <c:v>1</c:v>
                </c:pt>
                <c:pt idx="4">
                  <c:v>2</c:v>
                </c:pt>
                <c:pt idx="5">
                  <c:v>3</c:v>
                </c:pt>
                <c:pt idx="6">
                  <c:v>2</c:v>
                </c:pt>
                <c:pt idx="7">
                  <c:v>2</c:v>
                </c:pt>
                <c:pt idx="8">
                  <c:v>2</c:v>
                </c:pt>
                <c:pt idx="9">
                  <c:v>3</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3</c:v>
                </c:pt>
                <c:pt idx="25">
                  <c:v>2</c:v>
                </c:pt>
                <c:pt idx="26">
                  <c:v>2</c:v>
                </c:pt>
                <c:pt idx="27">
                  <c:v>2</c:v>
                </c:pt>
                <c:pt idx="28">
                  <c:v>2</c:v>
                </c:pt>
                <c:pt idx="29">
                  <c:v>1</c:v>
                </c:pt>
                <c:pt idx="30">
                  <c:v>1</c:v>
                </c:pt>
                <c:pt idx="31">
                  <c:v>2</c:v>
                </c:pt>
                <c:pt idx="32">
                  <c:v>3</c:v>
                </c:pt>
                <c:pt idx="33">
                  <c:v>2</c:v>
                </c:pt>
                <c:pt idx="34">
                  <c:v>2</c:v>
                </c:pt>
                <c:pt idx="35">
                  <c:v>2</c:v>
                </c:pt>
                <c:pt idx="36">
                  <c:v>2</c:v>
                </c:pt>
                <c:pt idx="37">
                  <c:v>3</c:v>
                </c:pt>
                <c:pt idx="38">
                  <c:v>2</c:v>
                </c:pt>
                <c:pt idx="39">
                  <c:v>2</c:v>
                </c:pt>
              </c:numCache>
            </c:numRef>
          </c:yVal>
          <c:smooth val="0"/>
          <c:extLst>
            <c:ext xmlns:c16="http://schemas.microsoft.com/office/drawing/2014/chart" uri="{C3380CC4-5D6E-409C-BE32-E72D297353CC}">
              <c16:uniqueId val="{00000000-7A13-4687-A76D-F9B46139684F}"/>
            </c:ext>
          </c:extLst>
        </c:ser>
        <c:dLbls>
          <c:showLegendKey val="0"/>
          <c:showVal val="0"/>
          <c:showCatName val="0"/>
          <c:showSerName val="0"/>
          <c:showPercent val="0"/>
          <c:showBubbleSize val="0"/>
        </c:dLbls>
        <c:axId val="437208975"/>
        <c:axId val="441204975"/>
      </c:scatterChart>
      <c:valAx>
        <c:axId val="43720897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(Years)</a:t>
                </a:r>
              </a:p>
            </c:rich>
          </c:tx>
          <c:layout>
            <c:manualLayout>
              <c:xMode val="edge"/>
              <c:yMode val="edge"/>
              <c:x val="0.40532410935638502"/>
              <c:y val="0.885816192841584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1204975"/>
        <c:crosses val="autoZero"/>
        <c:crossBetween val="midCat"/>
      </c:valAx>
      <c:valAx>
        <c:axId val="44120497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Expected</a:t>
                </a:r>
                <a:r>
                  <a:rPr lang="en-IN" baseline="0"/>
                  <a:t> Returns Code</a:t>
                </a:r>
                <a:endParaRPr lang="en-IN"/>
              </a:p>
            </c:rich>
          </c:tx>
          <c:layout>
            <c:manualLayout>
              <c:xMode val="edge"/>
              <c:yMode val="edge"/>
              <c:x val="3.262464218859458E-2"/>
              <c:y val="0.2397566883165908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7208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Investment</a:t>
            </a:r>
            <a:r>
              <a:rPr lang="en-US" baseline="0"/>
              <a:t> </a:t>
            </a:r>
            <a:r>
              <a:rPr lang="en-US"/>
              <a:t>Duration vs</a:t>
            </a:r>
            <a:r>
              <a:rPr lang="en-US" baseline="0"/>
              <a:t> </a:t>
            </a:r>
            <a:r>
              <a:rPr lang="en-US"/>
              <a:t>Expected Returns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Duration V/S Expected Returns</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'Data Preparation for Task 5'!$D$2:$D$41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'Data Preparation for Task 5'!$E$2:$E$41</c:f>
              <c:numCache>
                <c:formatCode>General</c:formatCode>
                <c:ptCount val="40"/>
                <c:pt idx="0">
                  <c:v>2</c:v>
                </c:pt>
                <c:pt idx="1">
                  <c:v>2</c:v>
                </c:pt>
                <c:pt idx="2">
                  <c:v>2</c:v>
                </c:pt>
                <c:pt idx="3">
                  <c:v>1</c:v>
                </c:pt>
                <c:pt idx="4">
                  <c:v>2</c:v>
                </c:pt>
                <c:pt idx="5">
                  <c:v>3</c:v>
                </c:pt>
                <c:pt idx="6">
                  <c:v>2</c:v>
                </c:pt>
                <c:pt idx="7">
                  <c:v>2</c:v>
                </c:pt>
                <c:pt idx="8">
                  <c:v>2</c:v>
                </c:pt>
                <c:pt idx="9">
                  <c:v>3</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3</c:v>
                </c:pt>
                <c:pt idx="25">
                  <c:v>2</c:v>
                </c:pt>
                <c:pt idx="26">
                  <c:v>2</c:v>
                </c:pt>
                <c:pt idx="27">
                  <c:v>2</c:v>
                </c:pt>
                <c:pt idx="28">
                  <c:v>2</c:v>
                </c:pt>
                <c:pt idx="29">
                  <c:v>1</c:v>
                </c:pt>
                <c:pt idx="30">
                  <c:v>1</c:v>
                </c:pt>
                <c:pt idx="31">
                  <c:v>2</c:v>
                </c:pt>
                <c:pt idx="32">
                  <c:v>3</c:v>
                </c:pt>
                <c:pt idx="33">
                  <c:v>2</c:v>
                </c:pt>
                <c:pt idx="34">
                  <c:v>2</c:v>
                </c:pt>
                <c:pt idx="35">
                  <c:v>2</c:v>
                </c:pt>
                <c:pt idx="36">
                  <c:v>2</c:v>
                </c:pt>
                <c:pt idx="37">
                  <c:v>3</c:v>
                </c:pt>
                <c:pt idx="38">
                  <c:v>2</c:v>
                </c:pt>
                <c:pt idx="39">
                  <c:v>2</c:v>
                </c:pt>
              </c:numCache>
            </c:numRef>
          </c:yVal>
          <c:smooth val="0"/>
          <c:extLst>
            <c:ext xmlns:c16="http://schemas.microsoft.com/office/drawing/2014/chart" uri="{C3380CC4-5D6E-409C-BE32-E72D297353CC}">
              <c16:uniqueId val="{00000000-3F1E-44D0-9644-FCBE7D77DD55}"/>
            </c:ext>
          </c:extLst>
        </c:ser>
        <c:dLbls>
          <c:showLegendKey val="0"/>
          <c:showVal val="0"/>
          <c:showCatName val="0"/>
          <c:showSerName val="0"/>
          <c:showPercent val="0"/>
          <c:showBubbleSize val="0"/>
        </c:dLbls>
        <c:axId val="1852278543"/>
        <c:axId val="441210735"/>
      </c:scatterChart>
      <c:valAx>
        <c:axId val="185227854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Investment</a:t>
                </a:r>
                <a:r>
                  <a:rPr lang="en-IN" baseline="0"/>
                  <a:t> Duration Code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1210735"/>
        <c:crosses val="autoZero"/>
        <c:crossBetween val="midCat"/>
      </c:valAx>
      <c:valAx>
        <c:axId val="4412107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Expected</a:t>
                </a:r>
                <a:r>
                  <a:rPr lang="en-IN" baseline="0"/>
                  <a:t> Returns Code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2278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Investment Duration vs Expected Returns(Bubble</a:t>
            </a:r>
            <a:r>
              <a:rPr lang="en-US" sz="1200" baseline="0"/>
              <a:t> size = Age)</a:t>
            </a:r>
            <a:endParaRPr lang="en-US" sz="1200"/>
          </a:p>
        </c:rich>
      </c:tx>
      <c:layout>
        <c:manualLayout>
          <c:xMode val="edge"/>
          <c:yMode val="edge"/>
          <c:x val="0.11148456915931811"/>
          <c:y val="4.434550011545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029620117735833"/>
          <c:y val="0.32547891873969254"/>
          <c:w val="0.82881749135355776"/>
          <c:h val="0.51150220233619337"/>
        </c:manualLayout>
      </c:layout>
      <c:bubbleChart>
        <c:varyColors val="0"/>
        <c:ser>
          <c:idx val="0"/>
          <c:order val="0"/>
          <c:tx>
            <c:strRef>
              <c:f>'Data Preparation for Task 5'!$D$1</c:f>
              <c:strCache>
                <c:ptCount val="1"/>
                <c:pt idx="0">
                  <c:v>Duration_Code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xVal>
            <c:numRef>
              <c:f>'Data Preparation for Task 5'!$D$2:$D$41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'Data Preparation for Task 5'!$E$2:$E$41</c:f>
              <c:numCache>
                <c:formatCode>General</c:formatCode>
                <c:ptCount val="40"/>
                <c:pt idx="0">
                  <c:v>2</c:v>
                </c:pt>
                <c:pt idx="1">
                  <c:v>2</c:v>
                </c:pt>
                <c:pt idx="2">
                  <c:v>2</c:v>
                </c:pt>
                <c:pt idx="3">
                  <c:v>1</c:v>
                </c:pt>
                <c:pt idx="4">
                  <c:v>2</c:v>
                </c:pt>
                <c:pt idx="5">
                  <c:v>3</c:v>
                </c:pt>
                <c:pt idx="6">
                  <c:v>2</c:v>
                </c:pt>
                <c:pt idx="7">
                  <c:v>2</c:v>
                </c:pt>
                <c:pt idx="8">
                  <c:v>2</c:v>
                </c:pt>
                <c:pt idx="9">
                  <c:v>3</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3</c:v>
                </c:pt>
                <c:pt idx="25">
                  <c:v>2</c:v>
                </c:pt>
                <c:pt idx="26">
                  <c:v>2</c:v>
                </c:pt>
                <c:pt idx="27">
                  <c:v>2</c:v>
                </c:pt>
                <c:pt idx="28">
                  <c:v>2</c:v>
                </c:pt>
                <c:pt idx="29">
                  <c:v>1</c:v>
                </c:pt>
                <c:pt idx="30">
                  <c:v>1</c:v>
                </c:pt>
                <c:pt idx="31">
                  <c:v>2</c:v>
                </c:pt>
                <c:pt idx="32">
                  <c:v>3</c:v>
                </c:pt>
                <c:pt idx="33">
                  <c:v>2</c:v>
                </c:pt>
                <c:pt idx="34">
                  <c:v>2</c:v>
                </c:pt>
                <c:pt idx="35">
                  <c:v>2</c:v>
                </c:pt>
                <c:pt idx="36">
                  <c:v>2</c:v>
                </c:pt>
                <c:pt idx="37">
                  <c:v>3</c:v>
                </c:pt>
                <c:pt idx="38">
                  <c:v>2</c:v>
                </c:pt>
                <c:pt idx="39">
                  <c:v>2</c:v>
                </c:pt>
              </c:numCache>
            </c:numRef>
          </c:yVal>
          <c:bubbleSize>
            <c:numRef>
              <c:f>'Data Preparation for Task 5'!$A$2:$A$41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0"/>
          <c:extLst>
            <c:ext xmlns:c16="http://schemas.microsoft.com/office/drawing/2014/chart" uri="{C3380CC4-5D6E-409C-BE32-E72D297353CC}">
              <c16:uniqueId val="{00000000-A43D-4FB6-B7BB-A9F530EEF0D0}"/>
            </c:ext>
          </c:extLst>
        </c:ser>
        <c:dLbls>
          <c:showLegendKey val="0"/>
          <c:showVal val="0"/>
          <c:showCatName val="0"/>
          <c:showSerName val="0"/>
          <c:showPercent val="0"/>
          <c:showBubbleSize val="0"/>
        </c:dLbls>
        <c:bubbleScale val="100"/>
        <c:showNegBubbles val="0"/>
        <c:axId val="1764119280"/>
        <c:axId val="1765407088"/>
      </c:bubbleChart>
      <c:valAx>
        <c:axId val="176411928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Investment</a:t>
                </a:r>
                <a:r>
                  <a:rPr lang="en-IN" baseline="0"/>
                  <a:t> Duration</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5407088"/>
        <c:crosses val="autoZero"/>
        <c:crossBetween val="midCat"/>
      </c:valAx>
      <c:valAx>
        <c:axId val="17654070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Expected</a:t>
                </a:r>
                <a:r>
                  <a:rPr lang="en-IN" baseline="0"/>
                  <a:t> Returns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4119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[Investment-Survey-Analysis.xlsx]Investment Preference &amp; Reasons!PivotTable1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 Prefrences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49818255591811"/>
          <c:y val="0.23268038238450126"/>
          <c:w val="0.77244295288923737"/>
          <c:h val="0.5590393457128402"/>
        </c:manualLayout>
      </c:layout>
      <c:barChart>
        <c:barDir val="bar"/>
        <c:grouping val="clustered"/>
        <c:varyColors val="0"/>
        <c:ser>
          <c:idx val="0"/>
          <c:order val="0"/>
          <c:tx>
            <c:strRef>
              <c:f>'Investment Preference &amp; Reasons'!$B$3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'Investment Preference &amp; Reasons'!$A$4:$A$8</c:f>
              <c:strCache>
                <c:ptCount val="4"/>
                <c:pt idx="0">
                  <c:v>Equity</c:v>
                </c:pt>
                <c:pt idx="1">
                  <c:v>Fixed Deposits</c:v>
                </c:pt>
                <c:pt idx="2">
                  <c:v>Mutual Fund</c:v>
                </c:pt>
                <c:pt idx="3">
                  <c:v>Public Provident Fund</c:v>
                </c:pt>
              </c:strCache>
            </c:strRef>
          </c:cat>
          <c:val>
            <c:numRef>
              <c:f>'Investment Preference &amp; Reasons'!$B$4:$B$8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0-BE71-45F7-9CE0-5C4434F34755}"/>
            </c:ext>
          </c:extLst>
        </c:ser>
        <c:dLbls>
          <c:dLblPos val="outEnd"/>
          <c:showLegendKey val="0"/>
          <c:showVal val="1"/>
          <c:showCatName val="0"/>
          <c:showSerName val="0"/>
          <c:showPercent val="0"/>
          <c:showBubbleSize val="0"/>
        </c:dLbls>
        <c:gapWidth val="115"/>
        <c:overlap val="-20"/>
        <c:axId val="1748872015"/>
        <c:axId val="1748877775"/>
      </c:barChart>
      <c:catAx>
        <c:axId val="17488720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Type of Avenue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877775"/>
        <c:crosses val="autoZero"/>
        <c:auto val="1"/>
        <c:lblAlgn val="ctr"/>
        <c:lblOffset val="100"/>
        <c:noMultiLvlLbl val="0"/>
      </c:catAx>
      <c:valAx>
        <c:axId val="174887777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Avenue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8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[Investment-Survey-Analysis.xlsx]Objective &amp; Source!PivotTable1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Savings</a:t>
            </a:r>
            <a:r>
              <a:rPr lang="en-US" sz="1200" baseline="0"/>
              <a:t> Objective Distribution</a:t>
            </a:r>
            <a:endParaRPr lang="en-US" sz="1200"/>
          </a:p>
        </c:rich>
      </c:tx>
      <c:layout>
        <c:manualLayout>
          <c:xMode val="edge"/>
          <c:yMode val="edge"/>
          <c:x val="0.16149856010930394"/>
          <c:y val="2.86307890402102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62E-2"/>
              <c:y val="-9.318426015544549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27843394575678"/>
                  <c:h val="0.116730825313502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781E-2"/>
              <c:y val="0.1102923757441767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0.117757266414868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62E-2"/>
              <c:y val="-9.318426015544549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27843394575678"/>
                  <c:h val="0.1167308253135024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781E-2"/>
              <c:y val="0.1102923757441767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0.117757266414868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769754488839533E-2"/>
              <c:y val="-5.858732980889199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78251278745748"/>
                  <c:h val="0.232053165671142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781E-2"/>
              <c:y val="0.1102923757441767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0.117757266414868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564938561269489"/>
          <c:y val="0.24646753754631806"/>
          <c:w val="0.36840559220036834"/>
          <c:h val="0.72277986528183125"/>
        </c:manualLayout>
      </c:layout>
      <c:doughnutChart>
        <c:varyColors val="1"/>
        <c:ser>
          <c:idx val="0"/>
          <c:order val="0"/>
          <c:tx>
            <c:strRef>
              <c:f>'Objective &amp; Source'!$B$3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34-40F0-9EE9-76B0660A2E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34-40F0-9EE9-76B0660A2E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34-40F0-9EE9-76B0660A2ED9}"/>
              </c:ext>
            </c:extLst>
          </c:dPt>
          <c:dLbls>
            <c:dLbl>
              <c:idx val="0"/>
              <c:layout>
                <c:manualLayout>
                  <c:x val="7.5769754488839533E-2"/>
                  <c:y val="-5.8587329808891996E-2"/>
                </c:manualLayout>
              </c:layout>
              <c:showLegendKey val="0"/>
              <c:showVal val="0"/>
              <c:showCatName val="1"/>
              <c:showSerName val="0"/>
              <c:showPercent val="1"/>
              <c:showBubbleSize val="0"/>
              <c:extLst>
                <c:ext xmlns:c15="http://schemas.microsoft.com/office/drawing/2012/chart" uri="{CE6537A1-D6FC-4f65-9D91-7224C49458BB}">
                  <c15:layout>
                    <c:manualLayout>
                      <c:w val="0.28778251278745748"/>
                      <c:h val="0.23205316567114215"/>
                    </c:manualLayout>
                  </c15:layout>
                </c:ext>
                <c:ext xmlns:c16="http://schemas.microsoft.com/office/drawing/2014/chart" uri="{C3380CC4-5D6E-409C-BE32-E72D297353CC}">
                  <c16:uniqueId val="{00000001-4334-40F0-9EE9-76B0660A2ED9}"/>
                </c:ext>
              </c:extLst>
            </c:dLbl>
            <c:dLbl>
              <c:idx val="1"/>
              <c:layout>
                <c:manualLayout>
                  <c:x val="8.8888888888888781E-2"/>
                  <c:y val="0.110292375744176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34-40F0-9EE9-76B0660A2ED9}"/>
                </c:ext>
              </c:extLst>
            </c:dLbl>
            <c:dLbl>
              <c:idx val="2"/>
              <c:layout>
                <c:manualLayout>
                  <c:x val="-8.611111111111111E-2"/>
                  <c:y val="-0.117757266414868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34-40F0-9EE9-76B0660A2ED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'Objective &amp; Source'!$A$4:$A$7</c:f>
              <c:strCache>
                <c:ptCount val="3"/>
                <c:pt idx="0">
                  <c:v>Education</c:v>
                </c:pt>
                <c:pt idx="1">
                  <c:v>Health Care</c:v>
                </c:pt>
                <c:pt idx="2">
                  <c:v>Retirement Plan</c:v>
                </c:pt>
              </c:strCache>
            </c:strRef>
          </c:cat>
          <c:val>
            <c:numRef>
              <c:f>'Objective &amp; Source'!$B$4:$B$7</c:f>
              <c:numCache>
                <c:formatCode>General</c:formatCode>
                <c:ptCount val="3"/>
                <c:pt idx="0">
                  <c:v>3</c:v>
                </c:pt>
                <c:pt idx="1">
                  <c:v>13</c:v>
                </c:pt>
                <c:pt idx="2">
                  <c:v>24</c:v>
                </c:pt>
              </c:numCache>
            </c:numRef>
          </c:val>
          <c:extLst>
            <c:ext xmlns:c16="http://schemas.microsoft.com/office/drawing/2014/chart" uri="{C3380CC4-5D6E-409C-BE32-E72D297353CC}">
              <c16:uniqueId val="{00000006-4334-40F0-9EE9-76B0660A2ED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[Investment-Survey-Analysis.xlsx]Duration &amp; Expectation!PivotTable1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a:t>
            </a:r>
            <a:r>
              <a:rPr lang="en-US" baseline="0"/>
              <a:t> Duration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6389271972519"/>
          <c:y val="0.20717987771604024"/>
          <c:w val="0.82940239857014209"/>
          <c:h val="0.58789044404938895"/>
        </c:manualLayout>
      </c:layout>
      <c:barChart>
        <c:barDir val="col"/>
        <c:grouping val="clustered"/>
        <c:varyColors val="0"/>
        <c:ser>
          <c:idx val="0"/>
          <c:order val="0"/>
          <c:tx>
            <c:strRef>
              <c:f>'Duration &amp; Expectation'!$B$3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'Duration &amp; Expectation'!$A$4:$A$8</c:f>
              <c:strCache>
                <c:ptCount val="4"/>
                <c:pt idx="0">
                  <c:v>Less than 1 year</c:v>
                </c:pt>
                <c:pt idx="1">
                  <c:v>1-3 years</c:v>
                </c:pt>
                <c:pt idx="2">
                  <c:v>3-5 years</c:v>
                </c:pt>
                <c:pt idx="3">
                  <c:v>More than 5 years</c:v>
                </c:pt>
              </c:strCache>
            </c:strRef>
          </c:cat>
          <c:val>
            <c:numRef>
              <c:f>'Duration &amp; Expectation'!$B$4:$B$8</c:f>
              <c:numCache>
                <c:formatCode>General</c:formatCode>
                <c:ptCount val="4"/>
                <c:pt idx="0">
                  <c:v>2</c:v>
                </c:pt>
                <c:pt idx="1">
                  <c:v>18</c:v>
                </c:pt>
                <c:pt idx="2">
                  <c:v>19</c:v>
                </c:pt>
                <c:pt idx="3">
                  <c:v>1</c:v>
                </c:pt>
              </c:numCache>
            </c:numRef>
          </c:val>
          <c:extLst>
            <c:ext xmlns:c16="http://schemas.microsoft.com/office/drawing/2014/chart" uri="{C3380CC4-5D6E-409C-BE32-E72D297353CC}">
              <c16:uniqueId val="{00000000-6965-49CD-A22E-D9210937EAB8}"/>
            </c:ext>
          </c:extLst>
        </c:ser>
        <c:dLbls>
          <c:dLblPos val="outEnd"/>
          <c:showLegendKey val="0"/>
          <c:showVal val="1"/>
          <c:showCatName val="0"/>
          <c:showSerName val="0"/>
          <c:showPercent val="0"/>
          <c:showBubbleSize val="0"/>
        </c:dLbls>
        <c:gapWidth val="0"/>
        <c:overlap val="-24"/>
        <c:axId val="1918424400"/>
        <c:axId val="1835298192"/>
      </c:barChart>
      <c:catAx>
        <c:axId val="1918424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Duration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298192"/>
        <c:crosses val="autoZero"/>
        <c:auto val="1"/>
        <c:lblAlgn val="ctr"/>
        <c:lblOffset val="100"/>
        <c:noMultiLvlLbl val="0"/>
      </c:catAx>
      <c:valAx>
        <c:axId val="18352981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aseline="0"/>
                  <a:t> participants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4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[Investment-Survey-Analysis.xlsx]Duration &amp; Expectation!PivotTable2</c:name>
    <c:fmtId val="14"/>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baseline="0"/>
              <a:t>Investment Return Expectations </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IN"/>
        </a:p>
      </c:txPr>
    </c:title>
    <c:autoTitleDeleted val="0"/>
    <c:pivotFmts>
      <c:pivotFmt>
        <c:idx val="0"/>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4201186078588468E-2"/>
              <c:y val="-0.10161726297973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775162237368905E-2"/>
              <c:y val="1.1955207449359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692317326062019E-2"/>
                  <c:h val="8.35953778500724E-2"/>
                </c:manualLayout>
              </c15:layout>
            </c:ext>
          </c:extLst>
        </c:dLbl>
      </c:pivotFmt>
      <c:pivotFmt>
        <c:idx val="5"/>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301779117882703E-2"/>
              <c:y val="1.7932458172894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'Duration &amp; Expectation'!$B$23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8575" cap="rnd">
                <a:solidFill>
                  <a:schemeClr val="accent1"/>
                </a:solidFill>
              </a:ln>
              <a:effectLst>
                <a:glow rad="76200">
                  <a:schemeClr val="accent1">
                    <a:satMod val="175000"/>
                    <a:alpha val="34000"/>
                  </a:schemeClr>
                </a:glow>
              </a:effectLst>
            </c:spPr>
            <c:extLst>
              <c:ext xmlns:c16="http://schemas.microsoft.com/office/drawing/2014/chart" uri="{C3380CC4-5D6E-409C-BE32-E72D297353CC}">
                <c16:uniqueId val="{00000001-3FED-4251-9C78-5E5D213D5212}"/>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8575" cap="rnd">
                <a:solidFill>
                  <a:schemeClr val="accent1"/>
                </a:solidFill>
              </a:ln>
              <a:effectLst>
                <a:glow rad="76200">
                  <a:schemeClr val="accent1">
                    <a:satMod val="175000"/>
                    <a:alpha val="34000"/>
                  </a:schemeClr>
                </a:glow>
              </a:effectLst>
            </c:spPr>
            <c:extLst>
              <c:ext xmlns:c16="http://schemas.microsoft.com/office/drawing/2014/chart" uri="{C3380CC4-5D6E-409C-BE32-E72D297353CC}">
                <c16:uniqueId val="{00000000-3FED-4251-9C78-5E5D213D5212}"/>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8575" cap="rnd">
                <a:solidFill>
                  <a:schemeClr val="accent1"/>
                </a:solidFill>
              </a:ln>
              <a:effectLst>
                <a:glow rad="76200">
                  <a:schemeClr val="accent1">
                    <a:satMod val="175000"/>
                    <a:alpha val="34000"/>
                  </a:schemeClr>
                </a:glow>
              </a:effectLst>
            </c:spPr>
            <c:extLst>
              <c:ext xmlns:c16="http://schemas.microsoft.com/office/drawing/2014/chart" uri="{C3380CC4-5D6E-409C-BE32-E72D297353CC}">
                <c16:uniqueId val="{00000002-3FED-4251-9C78-5E5D213D5212}"/>
              </c:ext>
            </c:extLst>
          </c:dPt>
          <c:dLbls>
            <c:dLbl>
              <c:idx val="0"/>
              <c:layout>
                <c:manualLayout>
                  <c:x val="1.775162237368905E-2"/>
                  <c:y val="1.1955207449359578E-2"/>
                </c:manualLayout>
              </c:layout>
              <c:showLegendKey val="0"/>
              <c:showVal val="1"/>
              <c:showCatName val="0"/>
              <c:showSerName val="0"/>
              <c:showPercent val="0"/>
              <c:showBubbleSize val="0"/>
              <c:extLst>
                <c:ext xmlns:c15="http://schemas.microsoft.com/office/drawing/2012/chart" uri="{CE6537A1-D6FC-4f65-9D91-7224C49458BB}">
                  <c15:layout>
                    <c:manualLayout>
                      <c:w val="5.1692317326062019E-2"/>
                      <c:h val="8.35953778500724E-2"/>
                    </c:manualLayout>
                  </c15:layout>
                </c:ext>
                <c:ext xmlns:c16="http://schemas.microsoft.com/office/drawing/2014/chart" uri="{C3380CC4-5D6E-409C-BE32-E72D297353CC}">
                  <c16:uniqueId val="{00000001-3FED-4251-9C78-5E5D213D5212}"/>
                </c:ext>
              </c:extLst>
            </c:dLbl>
            <c:dLbl>
              <c:idx val="1"/>
              <c:layout>
                <c:manualLayout>
                  <c:x val="-1.4201186078588468E-2"/>
                  <c:y val="-0.10161726297973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ED-4251-9C78-5E5D213D5212}"/>
                </c:ext>
              </c:extLst>
            </c:dLbl>
            <c:dLbl>
              <c:idx val="2"/>
              <c:layout>
                <c:manualLayout>
                  <c:x val="2.1301779117882703E-2"/>
                  <c:y val="1.7932458172894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ED-4251-9C78-5E5D213D52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'Duration &amp; Expectation'!$A$24:$A$27</c:f>
              <c:strCache>
                <c:ptCount val="3"/>
                <c:pt idx="0">
                  <c:v>10%-20%</c:v>
                </c:pt>
                <c:pt idx="1">
                  <c:v>20%-30%</c:v>
                </c:pt>
                <c:pt idx="2">
                  <c:v>30%-40%</c:v>
                </c:pt>
              </c:strCache>
            </c:strRef>
          </c:cat>
          <c:val>
            <c:numRef>
              <c:f>'Duration &amp; Expectation'!$B$24:$B$27</c:f>
              <c:numCache>
                <c:formatCode>General</c:formatCode>
                <c:ptCount val="3"/>
                <c:pt idx="0">
                  <c:v>3</c:v>
                </c:pt>
                <c:pt idx="1">
                  <c:v>32</c:v>
                </c:pt>
                <c:pt idx="2">
                  <c:v>5</c:v>
                </c:pt>
              </c:numCache>
            </c:numRef>
          </c:val>
          <c:extLst>
            <c:ext xmlns:c16="http://schemas.microsoft.com/office/drawing/2014/chart" uri="{C3380CC4-5D6E-409C-BE32-E72D297353CC}">
              <c16:uniqueId val="{00000000-5EDB-4942-B4BE-8BA25040AB4F}"/>
            </c:ext>
          </c:extLst>
        </c:ser>
        <c:dLbls>
          <c:showLegendKey val="0"/>
          <c:showVal val="1"/>
          <c:showCatName val="0"/>
          <c:showSerName val="0"/>
          <c:showPercent val="0"/>
          <c:showBubbleSize val="0"/>
        </c:dLbls>
        <c:axId val="1920357040"/>
        <c:axId val="1835323632"/>
      </c:radarChart>
      <c:catAx>
        <c:axId val="1920357040"/>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323632"/>
        <c:crosses val="autoZero"/>
        <c:auto val="1"/>
        <c:lblAlgn val="ctr"/>
        <c:lblOffset val="100"/>
        <c:noMultiLvlLbl val="0"/>
      </c:catAx>
      <c:valAx>
        <c:axId val="1835323632"/>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03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Investment Duration vs Expected</a:t>
            </a:r>
            <a:r>
              <a:rPr lang="en-US" sz="1200" baseline="0"/>
              <a:t> </a:t>
            </a:r>
            <a:r>
              <a:rPr lang="en-US" sz="1200"/>
              <a:t>Returns(Bubble</a:t>
            </a:r>
            <a:r>
              <a:rPr lang="en-US" sz="1200" baseline="0"/>
              <a:t> size = Age)</a:t>
            </a:r>
            <a:endParaRPr lang="en-US" sz="1200"/>
          </a:p>
        </c:rich>
      </c:tx>
      <c:layout>
        <c:manualLayout>
          <c:xMode val="edge"/>
          <c:yMode val="edge"/>
          <c:x val="0.1229799699429967"/>
          <c:y val="5.01297353871771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6333900626790088"/>
          <c:y val="0.28061892422090284"/>
          <c:w val="0.7857747160437728"/>
          <c:h val="0.51150220233619337"/>
        </c:manualLayout>
      </c:layout>
      <c:bubbleChart>
        <c:varyColors val="0"/>
        <c:ser>
          <c:idx val="0"/>
          <c:order val="0"/>
          <c:tx>
            <c:strRef>
              <c:f>'Data Preparation for Task 5'!$D$1</c:f>
              <c:strCache>
                <c:ptCount val="1"/>
                <c:pt idx="0">
                  <c:v>Duration_Code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xVal>
            <c:numRef>
              <c:f>'Data Preparation for Task 5'!$D$2:$D$41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'Data Preparation for Task 5'!$E$2:$E$41</c:f>
              <c:numCache>
                <c:formatCode>General</c:formatCode>
                <c:ptCount val="40"/>
                <c:pt idx="0">
                  <c:v>2</c:v>
                </c:pt>
                <c:pt idx="1">
                  <c:v>2</c:v>
                </c:pt>
                <c:pt idx="2">
                  <c:v>2</c:v>
                </c:pt>
                <c:pt idx="3">
                  <c:v>1</c:v>
                </c:pt>
                <c:pt idx="4">
                  <c:v>2</c:v>
                </c:pt>
                <c:pt idx="5">
                  <c:v>3</c:v>
                </c:pt>
                <c:pt idx="6">
                  <c:v>2</c:v>
                </c:pt>
                <c:pt idx="7">
                  <c:v>2</c:v>
                </c:pt>
                <c:pt idx="8">
                  <c:v>2</c:v>
                </c:pt>
                <c:pt idx="9">
                  <c:v>3</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3</c:v>
                </c:pt>
                <c:pt idx="25">
                  <c:v>2</c:v>
                </c:pt>
                <c:pt idx="26">
                  <c:v>2</c:v>
                </c:pt>
                <c:pt idx="27">
                  <c:v>2</c:v>
                </c:pt>
                <c:pt idx="28">
                  <c:v>2</c:v>
                </c:pt>
                <c:pt idx="29">
                  <c:v>1</c:v>
                </c:pt>
                <c:pt idx="30">
                  <c:v>1</c:v>
                </c:pt>
                <c:pt idx="31">
                  <c:v>2</c:v>
                </c:pt>
                <c:pt idx="32">
                  <c:v>3</c:v>
                </c:pt>
                <c:pt idx="33">
                  <c:v>2</c:v>
                </c:pt>
                <c:pt idx="34">
                  <c:v>2</c:v>
                </c:pt>
                <c:pt idx="35">
                  <c:v>2</c:v>
                </c:pt>
                <c:pt idx="36">
                  <c:v>2</c:v>
                </c:pt>
                <c:pt idx="37">
                  <c:v>3</c:v>
                </c:pt>
                <c:pt idx="38">
                  <c:v>2</c:v>
                </c:pt>
                <c:pt idx="39">
                  <c:v>2</c:v>
                </c:pt>
              </c:numCache>
            </c:numRef>
          </c:yVal>
          <c:bubbleSize>
            <c:numRef>
              <c:f>'Data Preparation for Task 5'!$A$2:$A$41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0"/>
          <c:extLst>
            <c:ext xmlns:c16="http://schemas.microsoft.com/office/drawing/2014/chart" uri="{C3380CC4-5D6E-409C-BE32-E72D297353CC}">
              <c16:uniqueId val="{00000000-ACE0-4375-9FE8-28BC92244B3B}"/>
            </c:ext>
          </c:extLst>
        </c:ser>
        <c:dLbls>
          <c:showLegendKey val="0"/>
          <c:showVal val="0"/>
          <c:showCatName val="0"/>
          <c:showSerName val="0"/>
          <c:showPercent val="0"/>
          <c:showBubbleSize val="0"/>
        </c:dLbls>
        <c:bubbleScale val="100"/>
        <c:showNegBubbles val="0"/>
        <c:axId val="1764119280"/>
        <c:axId val="1765407088"/>
      </c:bubbleChart>
      <c:valAx>
        <c:axId val="176411928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Investment</a:t>
                </a:r>
                <a:r>
                  <a:rPr lang="en-IN" baseline="0"/>
                  <a:t> Duration</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5407088"/>
        <c:crosses val="autoZero"/>
        <c:crossBetween val="midCat"/>
      </c:valAx>
      <c:valAx>
        <c:axId val="17654070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Expected</a:t>
                </a:r>
                <a:r>
                  <a:rPr lang="en-IN" baseline="0"/>
                  <a:t> Returns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4119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4.xml"/><Relationship Id="rId7" Type="http://schemas.openxmlformats.org/officeDocument/2006/relationships/image" Target="../media/image2.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png"/><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213360</xdr:colOff>
      <xdr:row>0</xdr:row>
      <xdr:rowOff>179070</xdr:rowOff>
    </xdr:from>
    <xdr:to>
      <xdr:col>15</xdr:col>
      <xdr:colOff>518160</xdr:colOff>
      <xdr:row>15</xdr:row>
      <xdr:rowOff>179070</xdr:rowOff>
    </xdr:to>
    <xdr:graphicFrame macro="">
      <xdr:nvGraphicFramePr>
        <xdr:cNvPr id="2" name="Chart 1">
          <a:extLst>
            <a:ext uri="{FF2B5EF4-FFF2-40B4-BE49-F238E27FC236}">
              <a16:creationId xmlns:a16="http://schemas.microsoft.com/office/drawing/2014/main" id="{936F3255-E861-0D08-B9DB-C52E34352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277226</xdr:colOff>
      <xdr:row>0</xdr:row>
      <xdr:rowOff>48846</xdr:rowOff>
    </xdr:from>
    <xdr:to>
      <xdr:col>15</xdr:col>
      <xdr:colOff>445998</xdr:colOff>
      <xdr:row>17</xdr:row>
      <xdr:rowOff>17482</xdr:rowOff>
    </xdr:to>
    <xdr:graphicFrame macro="">
      <xdr:nvGraphicFramePr>
        <xdr:cNvPr id="2" name="Chart 1">
          <a:extLst>
            <a:ext uri="{FF2B5EF4-FFF2-40B4-BE49-F238E27FC236}">
              <a16:creationId xmlns:a16="http://schemas.microsoft.com/office/drawing/2014/main" id="{46E3C2D0-612F-A0F2-5FD7-5151AD36D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101909</xdr:colOff>
      <xdr:row>20</xdr:row>
      <xdr:rowOff>15316</xdr:rowOff>
    </xdr:from>
    <xdr:to>
      <xdr:col>15</xdr:col>
      <xdr:colOff>4580</xdr:colOff>
      <xdr:row>40</xdr:row>
      <xdr:rowOff>40351</xdr:rowOff>
    </xdr:to>
    <xdr:graphicFrame macro="">
      <xdr:nvGraphicFramePr>
        <xdr:cNvPr id="3" name="Chart 2">
          <a:extLst>
            <a:ext uri="{FF2B5EF4-FFF2-40B4-BE49-F238E27FC236}">
              <a16:creationId xmlns:a16="http://schemas.microsoft.com/office/drawing/2014/main" id="{C6D12A80-C358-C220-A75F-ED2198162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202583</xdr:colOff>
      <xdr:row>0</xdr:row>
      <xdr:rowOff>0</xdr:rowOff>
    </xdr:from>
    <xdr:to>
      <xdr:col>14</xdr:col>
      <xdr:colOff>242069</xdr:colOff>
      <xdr:row>14</xdr:row>
      <xdr:rowOff>76200</xdr:rowOff>
    </xdr:to>
    <xdr:graphicFrame macro="">
      <xdr:nvGraphicFramePr>
        <xdr:cNvPr id="2" name="Chart 1">
          <a:extLst>
            <a:ext uri="{FF2B5EF4-FFF2-40B4-BE49-F238E27FC236}">
              <a16:creationId xmlns:a16="http://schemas.microsoft.com/office/drawing/2014/main" id="{0842F673-E22D-9055-2DC5-69B18B5E4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20</xdr:row>
      <xdr:rowOff>32019</xdr:rowOff>
    </xdr:from>
    <xdr:to>
      <xdr:col>14</xdr:col>
      <xdr:colOff>236219</xdr:colOff>
      <xdr:row>35</xdr:row>
      <xdr:rowOff>84935</xdr:rowOff>
    </xdr:to>
    <xdr:graphicFrame macro="">
      <xdr:nvGraphicFramePr>
        <xdr:cNvPr id="3" name="Chart 2">
          <a:extLst>
            <a:ext uri="{FF2B5EF4-FFF2-40B4-BE49-F238E27FC236}">
              <a16:creationId xmlns:a16="http://schemas.microsoft.com/office/drawing/2014/main" id="{D049919D-37FD-A58D-295D-9B98DA43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42056</xdr:colOff>
      <xdr:row>21</xdr:row>
      <xdr:rowOff>23497</xdr:rowOff>
    </xdr:from>
    <xdr:to>
      <xdr:col>9</xdr:col>
      <xdr:colOff>1014703</xdr:colOff>
      <xdr:row>36</xdr:row>
      <xdr:rowOff>23497</xdr:rowOff>
    </xdr:to>
    <xdr:graphicFrame macro="">
      <xdr:nvGraphicFramePr>
        <xdr:cNvPr id="2" name="Chart 1">
          <a:extLst>
            <a:ext uri="{FF2B5EF4-FFF2-40B4-BE49-F238E27FC236}">
              <a16:creationId xmlns:a16="http://schemas.microsoft.com/office/drawing/2014/main" id="{2B1A5E61-03ED-2BBB-D412-79D238410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187990</xdr:colOff>
      <xdr:row>1</xdr:row>
      <xdr:rowOff>13879</xdr:rowOff>
    </xdr:from>
    <xdr:to>
      <xdr:col>15</xdr:col>
      <xdr:colOff>319391</xdr:colOff>
      <xdr:row>16</xdr:row>
      <xdr:rowOff>13880</xdr:rowOff>
    </xdr:to>
    <xdr:graphicFrame macro="">
      <xdr:nvGraphicFramePr>
        <xdr:cNvPr id="3" name="Chart 2">
          <a:extLst>
            <a:ext uri="{FF2B5EF4-FFF2-40B4-BE49-F238E27FC236}">
              <a16:creationId xmlns:a16="http://schemas.microsoft.com/office/drawing/2014/main" id="{FF90990F-4D1D-53E6-D7C1-C394D2E60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198120</xdr:colOff>
      <xdr:row>1</xdr:row>
      <xdr:rowOff>76200</xdr:rowOff>
    </xdr:from>
    <xdr:to>
      <xdr:col>7</xdr:col>
      <xdr:colOff>22860</xdr:colOff>
      <xdr:row>14</xdr:row>
      <xdr:rowOff>124334</xdr:rowOff>
    </xdr:to>
    <xdr:graphicFrame macro="">
      <xdr:nvGraphicFramePr>
        <xdr:cNvPr id="2" name="Chart 1">
          <a:extLst>
            <a:ext uri="{FF2B5EF4-FFF2-40B4-BE49-F238E27FC236}">
              <a16:creationId xmlns:a16="http://schemas.microsoft.com/office/drawing/2014/main" id="{986FC0EC-B618-4E4B-8871-F1EE1CA90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1</xdr:row>
      <xdr:rowOff>68580</xdr:rowOff>
    </xdr:from>
    <xdr:to>
      <xdr:col>13</xdr:col>
      <xdr:colOff>546494</xdr:colOff>
      <xdr:row>14</xdr:row>
      <xdr:rowOff>130881</xdr:rowOff>
    </xdr:to>
    <xdr:graphicFrame macro="">
      <xdr:nvGraphicFramePr>
        <xdr:cNvPr id="3" name="Chart 2">
          <a:extLst>
            <a:ext uri="{FF2B5EF4-FFF2-40B4-BE49-F238E27FC236}">
              <a16:creationId xmlns:a16="http://schemas.microsoft.com/office/drawing/2014/main" id="{4710A2E7-658D-4137-AA4D-BE42EC451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815340</xdr:colOff>
      <xdr:row>1</xdr:row>
      <xdr:rowOff>68580</xdr:rowOff>
    </xdr:from>
    <xdr:to>
      <xdr:col>19</xdr:col>
      <xdr:colOff>571500</xdr:colOff>
      <xdr:row>14</xdr:row>
      <xdr:rowOff>99060</xdr:rowOff>
    </xdr:to>
    <xdr:graphicFrame macro="">
      <xdr:nvGraphicFramePr>
        <xdr:cNvPr id="4" name="Chart 3">
          <a:extLst>
            <a:ext uri="{FF2B5EF4-FFF2-40B4-BE49-F238E27FC236}">
              <a16:creationId xmlns:a16="http://schemas.microsoft.com/office/drawing/2014/main" id="{C03BA7F4-CA29-45D5-B205-DE2AEBE53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125604</xdr:colOff>
      <xdr:row>24</xdr:row>
      <xdr:rowOff>8375</xdr:rowOff>
    </xdr:from>
    <xdr:to>
      <xdr:col>7</xdr:col>
      <xdr:colOff>535912</xdr:colOff>
      <xdr:row>37</xdr:row>
      <xdr:rowOff>77097</xdr:rowOff>
    </xdr:to>
    <xdr:graphicFrame macro="">
      <xdr:nvGraphicFramePr>
        <xdr:cNvPr id="7" name="Chart 6">
          <a:extLst>
            <a:ext uri="{FF2B5EF4-FFF2-40B4-BE49-F238E27FC236}">
              <a16:creationId xmlns:a16="http://schemas.microsoft.com/office/drawing/2014/main" id="{2391518C-3B2B-4FB4-B466-5F9238B23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577143</xdr:colOff>
      <xdr:row>0</xdr:row>
      <xdr:rowOff>47695</xdr:rowOff>
    </xdr:from>
    <xdr:to>
      <xdr:col>22</xdr:col>
      <xdr:colOff>168008</xdr:colOff>
      <xdr:row>4</xdr:row>
      <xdr:rowOff>32455</xdr:rowOff>
    </xdr:to>
    <xdr:sp macro="" textlink="">
      <xdr:nvSpPr>
        <xdr:cNvPr id="2" name="TextBox 1">
          <a:extLst>
            <a:ext uri="{FF2B5EF4-FFF2-40B4-BE49-F238E27FC236}">
              <a16:creationId xmlns:a16="http://schemas.microsoft.com/office/drawing/2014/main" id="{9A54B313-A9FF-0154-5BBD-8A5E8C8029E5}"/>
            </a:ext>
          </a:extLst>
        </xdr:cNvPr>
        <xdr:cNvSpPr txBox="1"/>
      </xdr:nvSpPr>
      <xdr:spPr>
        <a:xfrm>
          <a:off x="577143" y="47695"/>
          <a:ext cx="15995032" cy="718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0" cap="none" spc="0" baseline="0">
              <a:ln w="0"/>
              <a:solidFill>
                <a:schemeClr val="accent1"/>
              </a:solidFill>
              <a:effectLst>
                <a:outerShdw blurRad="38100" dist="25400" dir="5400000" algn="ctr" rotWithShape="0">
                  <a:srgbClr val="6E747A">
                    <a:alpha val="43000"/>
                  </a:srgbClr>
                </a:outerShdw>
              </a:effectLst>
            </a:rPr>
            <a:t>                                   </a:t>
          </a:r>
          <a:r>
            <a:rPr lang="en-IN" sz="3200" b="0" cap="none" spc="0">
              <a:ln w="0"/>
              <a:solidFill>
                <a:schemeClr val="accent1"/>
              </a:solidFill>
              <a:effectLst>
                <a:outerShdw blurRad="38100" dist="25400" dir="5400000" algn="ctr" rotWithShape="0">
                  <a:srgbClr val="6E747A">
                    <a:alpha val="43000"/>
                  </a:srgbClr>
                </a:outerShdw>
              </a:effectLst>
            </a:rPr>
            <a:t>Investment Survey Dashboard</a:t>
          </a:r>
        </a:p>
      </xdr:txBody>
    </xdr:sp>
    <xdr:clientData/>
  </xdr:twoCellAnchor>
  <xdr:twoCellAnchor>
    <xdr:from>
      <xdr:col>2</xdr:col>
      <xdr:colOff>117815</xdr:colOff>
      <xdr:row>4</xdr:row>
      <xdr:rowOff>70555</xdr:rowOff>
    </xdr:from>
    <xdr:to>
      <xdr:col>4</xdr:col>
      <xdr:colOff>155223</xdr:colOff>
      <xdr:row>8</xdr:row>
      <xdr:rowOff>56444</xdr:rowOff>
    </xdr:to>
    <xdr:sp macro="" textlink="">
      <xdr:nvSpPr>
        <xdr:cNvPr id="3" name="TextBox 2">
          <a:extLst>
            <a:ext uri="{FF2B5EF4-FFF2-40B4-BE49-F238E27FC236}">
              <a16:creationId xmlns:a16="http://schemas.microsoft.com/office/drawing/2014/main" id="{5573F90F-4E4D-B631-9806-CA25EBF79602}"/>
            </a:ext>
          </a:extLst>
        </xdr:cNvPr>
        <xdr:cNvSpPr txBox="1"/>
      </xdr:nvSpPr>
      <xdr:spPr>
        <a:xfrm>
          <a:off x="1775871" y="804333"/>
          <a:ext cx="1893019" cy="719667"/>
        </a:xfrm>
        <a:prstGeom prst="rect">
          <a:avLst/>
        </a:prstGeom>
        <a:solidFill>
          <a:schemeClr val="bg1"/>
        </a:solidFill>
        <a:ln w="9525" cmpd="sng">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Total Participants</a:t>
          </a:r>
          <a:r>
            <a:rPr lang="en-IN" sz="1800" b="0" cap="none" spc="0">
              <a:ln w="0"/>
              <a:solidFill>
                <a:schemeClr val="accent1"/>
              </a:solidFill>
              <a:effectLst>
                <a:outerShdw blurRad="38100" dist="25400" dir="5400000" algn="ctr" rotWithShape="0">
                  <a:srgbClr val="6E747A">
                    <a:alpha val="43000"/>
                  </a:srgbClr>
                </a:outerShdw>
              </a:effectLst>
            </a:rPr>
            <a:t> </a:t>
          </a:r>
        </a:p>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   40</a:t>
          </a:r>
          <a:r>
            <a:rPr lang="en-IN" sz="1800" b="0" cap="none" spc="0">
              <a:ln w="0"/>
              <a:solidFill>
                <a:schemeClr val="accent1"/>
              </a:solidFill>
              <a:effectLst>
                <a:outerShdw blurRad="38100" dist="25400" dir="5400000" algn="ctr" rotWithShape="0">
                  <a:srgbClr val="6E747A">
                    <a:alpha val="43000"/>
                  </a:srgbClr>
                </a:outerShdw>
              </a:effectLst>
            </a:rPr>
            <a:t> </a:t>
          </a:r>
        </a:p>
        <a:p>
          <a:endParaRPr lang="en-IN" sz="1100"/>
        </a:p>
      </xdr:txBody>
    </xdr:sp>
    <xdr:clientData/>
  </xdr:twoCellAnchor>
  <xdr:twoCellAnchor>
    <xdr:from>
      <xdr:col>4</xdr:col>
      <xdr:colOff>706400</xdr:colOff>
      <xdr:row>4</xdr:row>
      <xdr:rowOff>84666</xdr:rowOff>
    </xdr:from>
    <xdr:to>
      <xdr:col>7</xdr:col>
      <xdr:colOff>303387</xdr:colOff>
      <xdr:row>8</xdr:row>
      <xdr:rowOff>56444</xdr:rowOff>
    </xdr:to>
    <xdr:sp macro="" textlink="">
      <xdr:nvSpPr>
        <xdr:cNvPr id="8" name="TextBox 7">
          <a:extLst>
            <a:ext uri="{FF2B5EF4-FFF2-40B4-BE49-F238E27FC236}">
              <a16:creationId xmlns:a16="http://schemas.microsoft.com/office/drawing/2014/main" id="{F1D2CA47-C663-4E00-9932-68DBCB76B1EA}"/>
            </a:ext>
          </a:extLst>
        </xdr:cNvPr>
        <xdr:cNvSpPr txBox="1"/>
      </xdr:nvSpPr>
      <xdr:spPr>
        <a:xfrm>
          <a:off x="4220067" y="818444"/>
          <a:ext cx="1777153" cy="705556"/>
        </a:xfrm>
        <a:prstGeom prst="rect">
          <a:avLst/>
        </a:prstGeom>
        <a:solidFill>
          <a:schemeClr val="bg1"/>
        </a:solidFill>
        <a:ln w="9525" cmpd="sng">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Average Age</a:t>
          </a:r>
          <a:r>
            <a:rPr lang="en-IN" sz="1800" b="0" cap="none" spc="0">
              <a:ln w="0"/>
              <a:solidFill>
                <a:schemeClr val="accent1"/>
              </a:solidFill>
              <a:effectLst>
                <a:outerShdw blurRad="38100" dist="25400" dir="5400000" algn="ctr" rotWithShape="0">
                  <a:srgbClr val="6E747A">
                    <a:alpha val="43000"/>
                  </a:srgbClr>
                </a:outerShdw>
              </a:effectLst>
            </a:rPr>
            <a:t> </a:t>
          </a:r>
        </a:p>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28</a:t>
          </a:r>
          <a:r>
            <a:rPr lang="en-IN" sz="1800" b="0" cap="none" spc="0">
              <a:ln w="0"/>
              <a:solidFill>
                <a:schemeClr val="accent1"/>
              </a:solidFill>
              <a:effectLst>
                <a:outerShdw blurRad="38100" dist="25400" dir="5400000" algn="ctr" rotWithShape="0">
                  <a:srgbClr val="6E747A">
                    <a:alpha val="43000"/>
                  </a:srgbClr>
                </a:outerShdw>
              </a:effectLst>
            </a:rPr>
            <a:t> </a:t>
          </a:r>
        </a:p>
        <a:p>
          <a:endParaRPr lang="en-IN" sz="1100"/>
        </a:p>
      </xdr:txBody>
    </xdr:sp>
    <xdr:clientData/>
  </xdr:twoCellAnchor>
  <xdr:twoCellAnchor>
    <xdr:from>
      <xdr:col>7</xdr:col>
      <xdr:colOff>865012</xdr:colOff>
      <xdr:row>4</xdr:row>
      <xdr:rowOff>112891</xdr:rowOff>
    </xdr:from>
    <xdr:to>
      <xdr:col>9</xdr:col>
      <xdr:colOff>677333</xdr:colOff>
      <xdr:row>8</xdr:row>
      <xdr:rowOff>70555</xdr:rowOff>
    </xdr:to>
    <xdr:sp macro="" textlink="">
      <xdr:nvSpPr>
        <xdr:cNvPr id="10" name="TextBox 9">
          <a:extLst>
            <a:ext uri="{FF2B5EF4-FFF2-40B4-BE49-F238E27FC236}">
              <a16:creationId xmlns:a16="http://schemas.microsoft.com/office/drawing/2014/main" id="{EF47A81E-4E99-4EF7-8DAE-74C6ED9082B1}"/>
            </a:ext>
          </a:extLst>
        </xdr:cNvPr>
        <xdr:cNvSpPr txBox="1"/>
      </xdr:nvSpPr>
      <xdr:spPr>
        <a:xfrm>
          <a:off x="6558845" y="846669"/>
          <a:ext cx="1759655" cy="691442"/>
        </a:xfrm>
        <a:prstGeom prst="rect">
          <a:avLst/>
        </a:prstGeom>
        <a:solidFill>
          <a:schemeClr val="bg1"/>
        </a:solidFill>
        <a:ln w="9525" cmpd="sng">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cap="none" spc="0">
              <a:ln w="0"/>
              <a:solidFill>
                <a:schemeClr val="accent1"/>
              </a:solidFill>
              <a:effectLst>
                <a:outerShdw blurRad="38100" dist="25400" dir="5400000" algn="ctr" rotWithShape="0">
                  <a:srgbClr val="6E747A">
                    <a:alpha val="43000"/>
                  </a:srgbClr>
                </a:outerShdw>
              </a:effectLst>
            </a:rPr>
            <a:t>Top</a:t>
          </a:r>
          <a:r>
            <a:rPr lang="en-IN" sz="1800" b="0" cap="none" spc="0" baseline="0">
              <a:ln w="0"/>
              <a:solidFill>
                <a:schemeClr val="accent1"/>
              </a:solidFill>
              <a:effectLst>
                <a:outerShdw blurRad="38100" dist="25400" dir="5400000" algn="ctr" rotWithShape="0">
                  <a:srgbClr val="6E747A">
                    <a:alpha val="43000"/>
                  </a:srgbClr>
                </a:outerShdw>
              </a:effectLst>
            </a:rPr>
            <a:t> Investment</a:t>
          </a:r>
        </a:p>
        <a:p>
          <a:pPr algn="ctr"/>
          <a:r>
            <a:rPr lang="en-IN" sz="1800" b="0" cap="none" spc="0" baseline="0">
              <a:ln w="0"/>
              <a:solidFill>
                <a:schemeClr val="accent1"/>
              </a:solidFill>
              <a:effectLst>
                <a:outerShdw blurRad="38100" dist="25400" dir="5400000" algn="ctr" rotWithShape="0">
                  <a:srgbClr val="6E747A">
                    <a:alpha val="43000"/>
                  </a:srgbClr>
                </a:outerShdw>
              </a:effectLst>
            </a:rPr>
            <a:t>Mutual Funds</a:t>
          </a:r>
          <a:endParaRPr lang="en-IN" sz="1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10</xdr:col>
      <xdr:colOff>452404</xdr:colOff>
      <xdr:row>4</xdr:row>
      <xdr:rowOff>119944</xdr:rowOff>
    </xdr:from>
    <xdr:to>
      <xdr:col>13</xdr:col>
      <xdr:colOff>211668</xdr:colOff>
      <xdr:row>8</xdr:row>
      <xdr:rowOff>70555</xdr:rowOff>
    </xdr:to>
    <xdr:sp macro="" textlink="">
      <xdr:nvSpPr>
        <xdr:cNvPr id="12" name="TextBox 11">
          <a:extLst>
            <a:ext uri="{FF2B5EF4-FFF2-40B4-BE49-F238E27FC236}">
              <a16:creationId xmlns:a16="http://schemas.microsoft.com/office/drawing/2014/main" id="{092AE40F-73BE-4129-AAC6-E34515C8727B}"/>
            </a:ext>
          </a:extLst>
        </xdr:cNvPr>
        <xdr:cNvSpPr txBox="1"/>
      </xdr:nvSpPr>
      <xdr:spPr>
        <a:xfrm>
          <a:off x="8862626" y="853722"/>
          <a:ext cx="2292209" cy="684389"/>
        </a:xfrm>
        <a:prstGeom prst="rect">
          <a:avLst/>
        </a:prstGeom>
        <a:solidFill>
          <a:schemeClr val="bg1"/>
        </a:solidFill>
        <a:ln w="9525" cmpd="sng">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Most Expected Return</a:t>
          </a:r>
          <a:r>
            <a:rPr lang="en-IN" sz="1800" b="0" cap="none" spc="0">
              <a:ln w="0"/>
              <a:solidFill>
                <a:schemeClr val="accent1"/>
              </a:solidFill>
              <a:effectLst>
                <a:outerShdw blurRad="38100" dist="25400" dir="5400000" algn="ctr" rotWithShape="0">
                  <a:srgbClr val="6E747A">
                    <a:alpha val="43000"/>
                  </a:srgbClr>
                </a:outerShdw>
              </a:effectLst>
            </a:rPr>
            <a:t> </a:t>
          </a:r>
        </a:p>
        <a:p>
          <a:pPr algn="ct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20-30%</a:t>
          </a:r>
          <a:r>
            <a:rPr lang="en-IN" sz="1800" b="0" cap="none" spc="0">
              <a:ln w="0"/>
              <a:solidFill>
                <a:schemeClr val="accent1"/>
              </a:solidFill>
              <a:effectLst>
                <a:outerShdw blurRad="38100" dist="25400" dir="5400000" algn="ctr" rotWithShape="0">
                  <a:srgbClr val="6E747A">
                    <a:alpha val="43000"/>
                  </a:srgbClr>
                </a:outerShdw>
              </a:effectLst>
            </a:rPr>
            <a:t> </a:t>
          </a:r>
        </a:p>
        <a:p>
          <a:endParaRPr lang="en-IN" sz="1100"/>
        </a:p>
      </xdr:txBody>
    </xdr:sp>
    <xdr:clientData/>
  </xdr:twoCellAnchor>
  <xdr:twoCellAnchor>
    <xdr:from>
      <xdr:col>0</xdr:col>
      <xdr:colOff>488021</xdr:colOff>
      <xdr:row>9</xdr:row>
      <xdr:rowOff>77612</xdr:rowOff>
    </xdr:from>
    <xdr:to>
      <xdr:col>4</xdr:col>
      <xdr:colOff>776111</xdr:colOff>
      <xdr:row>19</xdr:row>
      <xdr:rowOff>134399</xdr:rowOff>
    </xdr:to>
    <xdr:graphicFrame macro="">
      <xdr:nvGraphicFramePr>
        <xdr:cNvPr id="13" name="Chart 12">
          <a:extLst>
            <a:ext uri="{FF2B5EF4-FFF2-40B4-BE49-F238E27FC236}">
              <a16:creationId xmlns:a16="http://schemas.microsoft.com/office/drawing/2014/main" id="{49C4D8C4-B93C-4887-A044-3DE9E6038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430389</xdr:colOff>
      <xdr:row>9</xdr:row>
      <xdr:rowOff>77612</xdr:rowOff>
    </xdr:from>
    <xdr:to>
      <xdr:col>9</xdr:col>
      <xdr:colOff>726721</xdr:colOff>
      <xdr:row>19</xdr:row>
      <xdr:rowOff>141110</xdr:rowOff>
    </xdr:to>
    <xdr:graphicFrame macro="">
      <xdr:nvGraphicFramePr>
        <xdr:cNvPr id="14" name="Chart 13">
          <a:extLst>
            <a:ext uri="{FF2B5EF4-FFF2-40B4-BE49-F238E27FC236}">
              <a16:creationId xmlns:a16="http://schemas.microsoft.com/office/drawing/2014/main" id="{A986C82D-41DA-4150-86EE-B6047E66A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479778</xdr:colOff>
      <xdr:row>20</xdr:row>
      <xdr:rowOff>108155</xdr:rowOff>
    </xdr:from>
    <xdr:to>
      <xdr:col>4</xdr:col>
      <xdr:colOff>734669</xdr:colOff>
      <xdr:row>31</xdr:row>
      <xdr:rowOff>135284</xdr:rowOff>
    </xdr:to>
    <xdr:graphicFrame macro="">
      <xdr:nvGraphicFramePr>
        <xdr:cNvPr id="15" name="Chart 14">
          <a:extLst>
            <a:ext uri="{FF2B5EF4-FFF2-40B4-BE49-F238E27FC236}">
              <a16:creationId xmlns:a16="http://schemas.microsoft.com/office/drawing/2014/main" id="{41262B64-25DB-47F5-A874-B70FD8AE4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458613</xdr:colOff>
      <xdr:row>20</xdr:row>
      <xdr:rowOff>69637</xdr:rowOff>
    </xdr:from>
    <xdr:to>
      <xdr:col>9</xdr:col>
      <xdr:colOff>747890</xdr:colOff>
      <xdr:row>31</xdr:row>
      <xdr:rowOff>176387</xdr:rowOff>
    </xdr:to>
    <xdr:graphicFrame macro="">
      <xdr:nvGraphicFramePr>
        <xdr:cNvPr id="16" name="Chart 15">
          <a:extLst>
            <a:ext uri="{FF2B5EF4-FFF2-40B4-BE49-F238E27FC236}">
              <a16:creationId xmlns:a16="http://schemas.microsoft.com/office/drawing/2014/main" id="{BA901E28-FB6E-41F1-9315-CCE009885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466290</xdr:colOff>
      <xdr:row>19</xdr:row>
      <xdr:rowOff>14112</xdr:rowOff>
    </xdr:from>
    <xdr:to>
      <xdr:col>6</xdr:col>
      <xdr:colOff>14110</xdr:colOff>
      <xdr:row>24</xdr:row>
      <xdr:rowOff>49390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F517E340-7C9E-91EA-2FF4-8B36F0BB19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79957" y="3499556"/>
              <a:ext cx="1142375" cy="95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310446</xdr:colOff>
      <xdr:row>12</xdr:row>
      <xdr:rowOff>105834</xdr:rowOff>
    </xdr:from>
    <xdr:to>
      <xdr:col>14</xdr:col>
      <xdr:colOff>1008945</xdr:colOff>
      <xdr:row>24</xdr:row>
      <xdr:rowOff>169333</xdr:rowOff>
    </xdr:to>
    <xdr:graphicFrame macro="">
      <xdr:nvGraphicFramePr>
        <xdr:cNvPr id="5" name="Chart 4">
          <a:extLst>
            <a:ext uri="{FF2B5EF4-FFF2-40B4-BE49-F238E27FC236}">
              <a16:creationId xmlns:a16="http://schemas.microsoft.com/office/drawing/2014/main" id="{AB24C0C3-8F9A-4FD1-BA98-5C5E4E152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84666</xdr:colOff>
      <xdr:row>10</xdr:row>
      <xdr:rowOff>28224</xdr:rowOff>
    </xdr:from>
    <xdr:to>
      <xdr:col>14</xdr:col>
      <xdr:colOff>127000</xdr:colOff>
      <xdr:row>12</xdr:row>
      <xdr:rowOff>70557</xdr:rowOff>
    </xdr:to>
    <xdr:sp macro="" textlink="">
      <xdr:nvSpPr>
        <xdr:cNvPr id="6" name="TextBox 5">
          <a:extLst>
            <a:ext uri="{FF2B5EF4-FFF2-40B4-BE49-F238E27FC236}">
              <a16:creationId xmlns:a16="http://schemas.microsoft.com/office/drawing/2014/main" id="{75E13627-505D-CAF1-F9C7-731D2F273DAC}"/>
            </a:ext>
          </a:extLst>
        </xdr:cNvPr>
        <xdr:cNvSpPr txBox="1"/>
      </xdr:nvSpPr>
      <xdr:spPr>
        <a:xfrm>
          <a:off x="9101666" y="1862668"/>
          <a:ext cx="2575278" cy="409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cap="none" spc="0">
              <a:ln w="0"/>
              <a:solidFill>
                <a:schemeClr val="accent1"/>
              </a:solidFill>
              <a:effectLst>
                <a:outerShdw blurRad="38100" dist="25400" dir="5400000" algn="ctr" rotWithShape="0">
                  <a:srgbClr val="6E747A">
                    <a:alpha val="43000"/>
                  </a:srgbClr>
                </a:outerShdw>
              </a:effectLst>
            </a:rPr>
            <a:t>Correlation</a:t>
          </a:r>
          <a:r>
            <a:rPr lang="en-IN" sz="1800" b="0" cap="none" spc="0" baseline="0">
              <a:ln w="0"/>
              <a:solidFill>
                <a:schemeClr val="accent1"/>
              </a:solidFill>
              <a:effectLst>
                <a:outerShdw blurRad="38100" dist="25400" dir="5400000" algn="ctr" rotWithShape="0">
                  <a:srgbClr val="6E747A">
                    <a:alpha val="43000"/>
                  </a:srgbClr>
                </a:outerShdw>
              </a:effectLst>
            </a:rPr>
            <a:t> Insights</a:t>
          </a:r>
          <a:endParaRPr lang="en-IN" sz="1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11</xdr:col>
      <xdr:colOff>564443</xdr:colOff>
      <xdr:row>1</xdr:row>
      <xdr:rowOff>155222</xdr:rowOff>
    </xdr:from>
    <xdr:to>
      <xdr:col>12</xdr:col>
      <xdr:colOff>159454</xdr:colOff>
      <xdr:row>5</xdr:row>
      <xdr:rowOff>60677</xdr:rowOff>
    </xdr:to>
    <xdr:pic>
      <xdr:nvPicPr>
        <xdr:cNvPr id="7" name="Graphic 6" descr="Bar graph with upward trend with solid fill">
          <a:extLst>
            <a:ext uri="{FF2B5EF4-FFF2-40B4-BE49-F238E27FC236}">
              <a16:creationId xmlns:a16="http://schemas.microsoft.com/office/drawing/2014/main" id="{09EBD3FA-B78A-E896-96EB-028EA2979B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581443" y="338666"/>
          <a:ext cx="914400" cy="639233"/>
        </a:xfrm>
        <a:prstGeom prst="rect">
          <a:avLst/>
        </a:prstGeom>
      </xdr:spPr>
    </xdr:pic>
    <xdr:clientData/>
  </xdr:twoCellAnchor>
  <xdr:twoCellAnchor editAs="oneCell">
    <xdr:from>
      <xdr:col>2</xdr:col>
      <xdr:colOff>550332</xdr:colOff>
      <xdr:row>1</xdr:row>
      <xdr:rowOff>70556</xdr:rowOff>
    </xdr:from>
    <xdr:to>
      <xdr:col>3</xdr:col>
      <xdr:colOff>857955</xdr:colOff>
      <xdr:row>4</xdr:row>
      <xdr:rowOff>180622</xdr:rowOff>
    </xdr:to>
    <xdr:pic>
      <xdr:nvPicPr>
        <xdr:cNvPr id="11" name="Graphic 10" descr="User with solid fill">
          <a:extLst>
            <a:ext uri="{FF2B5EF4-FFF2-40B4-BE49-F238E27FC236}">
              <a16:creationId xmlns:a16="http://schemas.microsoft.com/office/drawing/2014/main" id="{05560C45-D75F-263F-DE9C-96735DCC8C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8388" y="254000"/>
          <a:ext cx="914400" cy="660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Girdhar" refreshedDate="46195.943126851853" createdVersion="8" refreshedVersion="8" minRefreshableVersion="3" recordCount="40" xr:uid="{BD4BB70C-B4E9-4F61-A445-631946786A48}">
  <cacheSource type="worksheet">
    <worksheetSource name="Data_set_2"/>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ount="2">
        <s v="Yes"/>
        <s v="No"/>
      </sharedItems>
    </cacheField>
    <cacheField name="Factor" numFmtId="0">
      <sharedItems/>
    </cacheField>
    <cacheField name="Objective" numFmtId="0">
      <sharedItems count="3">
        <s v="Capital Appreciation"/>
        <s v="Income"/>
        <s v="Growth"/>
      </sharedItems>
    </cacheField>
    <cacheField name="Purpose" numFmtId="0">
      <sharedItems count="3">
        <s v="Wealth Creation"/>
        <s v="Savings for Future"/>
        <s v="Returns"/>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2069524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n v="1"/>
    <n v="2"/>
    <n v="5"/>
    <n v="3"/>
    <n v="7"/>
    <n v="6"/>
    <n v="4"/>
    <x v="0"/>
    <s v="Returns"/>
    <x v="0"/>
    <x v="0"/>
    <x v="0"/>
    <s v="Monthly"/>
    <x v="0"/>
    <x v="0"/>
    <x v="0"/>
    <x v="0"/>
    <x v="0"/>
    <x v="0"/>
    <x v="0"/>
    <x v="0"/>
  </r>
  <r>
    <x v="0"/>
    <x v="1"/>
    <x v="0"/>
    <n v="4"/>
    <n v="3"/>
    <n v="2"/>
    <n v="1"/>
    <n v="5"/>
    <n v="6"/>
    <n v="7"/>
    <x v="1"/>
    <s v="Locking Period"/>
    <x v="0"/>
    <x v="0"/>
    <x v="1"/>
    <s v="Weekly"/>
    <x v="0"/>
    <x v="0"/>
    <x v="1"/>
    <x v="1"/>
    <x v="0"/>
    <x v="0"/>
    <x v="1"/>
    <x v="1"/>
  </r>
  <r>
    <x v="1"/>
    <x v="2"/>
    <x v="0"/>
    <n v="3"/>
    <n v="6"/>
    <n v="4"/>
    <n v="2"/>
    <n v="5"/>
    <n v="1"/>
    <n v="7"/>
    <x v="0"/>
    <s v="Returns"/>
    <x v="0"/>
    <x v="0"/>
    <x v="2"/>
    <s v="Daily"/>
    <x v="0"/>
    <x v="1"/>
    <x v="0"/>
    <x v="0"/>
    <x v="1"/>
    <x v="1"/>
    <x v="0"/>
    <x v="2"/>
  </r>
  <r>
    <x v="1"/>
    <x v="3"/>
    <x v="0"/>
    <n v="2"/>
    <n v="1"/>
    <n v="3"/>
    <n v="7"/>
    <n v="6"/>
    <n v="4"/>
    <n v="5"/>
    <x v="0"/>
    <s v="Returns"/>
    <x v="1"/>
    <x v="0"/>
    <x v="3"/>
    <s v="Daily"/>
    <x v="1"/>
    <x v="1"/>
    <x v="0"/>
    <x v="1"/>
    <x v="2"/>
    <x v="2"/>
    <x v="1"/>
    <x v="3"/>
  </r>
  <r>
    <x v="0"/>
    <x v="4"/>
    <x v="1"/>
    <n v="2"/>
    <n v="1"/>
    <n v="3"/>
    <n v="6"/>
    <n v="4"/>
    <n v="5"/>
    <n v="7"/>
    <x v="1"/>
    <s v="Returns"/>
    <x v="1"/>
    <x v="0"/>
    <x v="3"/>
    <s v="Daily"/>
    <x v="0"/>
    <x v="1"/>
    <x v="0"/>
    <x v="0"/>
    <x v="0"/>
    <x v="0"/>
    <x v="2"/>
    <x v="3"/>
  </r>
  <r>
    <x v="0"/>
    <x v="4"/>
    <x v="1"/>
    <n v="7"/>
    <n v="5"/>
    <n v="4"/>
    <n v="6"/>
    <n v="3"/>
    <n v="1"/>
    <n v="2"/>
    <x v="1"/>
    <s v="Risk"/>
    <x v="0"/>
    <x v="0"/>
    <x v="0"/>
    <s v="Daily"/>
    <x v="2"/>
    <x v="0"/>
    <x v="0"/>
    <x v="2"/>
    <x v="2"/>
    <x v="0"/>
    <x v="2"/>
    <x v="3"/>
  </r>
  <r>
    <x v="0"/>
    <x v="5"/>
    <x v="0"/>
    <n v="3"/>
    <n v="6"/>
    <n v="4"/>
    <n v="2"/>
    <n v="5"/>
    <n v="1"/>
    <n v="7"/>
    <x v="0"/>
    <s v="Returns"/>
    <x v="0"/>
    <x v="0"/>
    <x v="2"/>
    <s v="Monthly"/>
    <x v="0"/>
    <x v="1"/>
    <x v="0"/>
    <x v="0"/>
    <x v="0"/>
    <x v="1"/>
    <x v="1"/>
    <x v="1"/>
  </r>
  <r>
    <x v="1"/>
    <x v="6"/>
    <x v="0"/>
    <n v="2"/>
    <n v="3"/>
    <n v="7"/>
    <n v="4"/>
    <n v="6"/>
    <n v="1"/>
    <n v="5"/>
    <x v="0"/>
    <s v="Risk"/>
    <x v="0"/>
    <x v="0"/>
    <x v="2"/>
    <s v="Monthly"/>
    <x v="0"/>
    <x v="0"/>
    <x v="0"/>
    <x v="0"/>
    <x v="0"/>
    <x v="1"/>
    <x v="2"/>
    <x v="0"/>
  </r>
  <r>
    <x v="1"/>
    <x v="7"/>
    <x v="0"/>
    <n v="2"/>
    <n v="4"/>
    <n v="7"/>
    <n v="5"/>
    <n v="3"/>
    <n v="1"/>
    <n v="6"/>
    <x v="0"/>
    <s v="Returns"/>
    <x v="2"/>
    <x v="1"/>
    <x v="0"/>
    <s v="Weekly"/>
    <x v="0"/>
    <x v="1"/>
    <x v="0"/>
    <x v="0"/>
    <x v="2"/>
    <x v="0"/>
    <x v="0"/>
    <x v="2"/>
  </r>
  <r>
    <x v="1"/>
    <x v="8"/>
    <x v="0"/>
    <n v="1"/>
    <n v="3"/>
    <n v="7"/>
    <n v="4"/>
    <n v="5"/>
    <n v="2"/>
    <n v="6"/>
    <x v="0"/>
    <s v="Returns"/>
    <x v="0"/>
    <x v="0"/>
    <x v="2"/>
    <s v="Monthly"/>
    <x v="2"/>
    <x v="2"/>
    <x v="0"/>
    <x v="0"/>
    <x v="2"/>
    <x v="1"/>
    <x v="0"/>
    <x v="0"/>
  </r>
  <r>
    <x v="0"/>
    <x v="7"/>
    <x v="0"/>
    <n v="2"/>
    <n v="4"/>
    <n v="7"/>
    <n v="5"/>
    <n v="3"/>
    <n v="1"/>
    <n v="6"/>
    <x v="0"/>
    <s v="Risk"/>
    <x v="2"/>
    <x v="1"/>
    <x v="2"/>
    <s v="Monthly"/>
    <x v="0"/>
    <x v="0"/>
    <x v="0"/>
    <x v="0"/>
    <x v="0"/>
    <x v="1"/>
    <x v="2"/>
    <x v="1"/>
  </r>
  <r>
    <x v="1"/>
    <x v="9"/>
    <x v="0"/>
    <n v="2"/>
    <n v="5"/>
    <n v="7"/>
    <n v="6"/>
    <n v="3"/>
    <n v="1"/>
    <n v="4"/>
    <x v="0"/>
    <s v="Risk"/>
    <x v="0"/>
    <x v="0"/>
    <x v="0"/>
    <s v="Monthly"/>
    <x v="0"/>
    <x v="0"/>
    <x v="0"/>
    <x v="0"/>
    <x v="2"/>
    <x v="1"/>
    <x v="0"/>
    <x v="1"/>
  </r>
  <r>
    <x v="0"/>
    <x v="6"/>
    <x v="1"/>
    <n v="1"/>
    <n v="2"/>
    <n v="3"/>
    <n v="4"/>
    <n v="5"/>
    <n v="6"/>
    <n v="7"/>
    <x v="1"/>
    <s v="Returns"/>
    <x v="0"/>
    <x v="1"/>
    <x v="0"/>
    <s v="Weekly"/>
    <x v="0"/>
    <x v="0"/>
    <x v="2"/>
    <x v="1"/>
    <x v="0"/>
    <x v="0"/>
    <x v="2"/>
    <x v="3"/>
  </r>
  <r>
    <x v="0"/>
    <x v="10"/>
    <x v="0"/>
    <n v="2"/>
    <n v="3"/>
    <n v="7"/>
    <n v="4"/>
    <n v="5"/>
    <n v="1"/>
    <n v="6"/>
    <x v="0"/>
    <s v="Returns"/>
    <x v="0"/>
    <x v="0"/>
    <x v="0"/>
    <s v="Monthly"/>
    <x v="0"/>
    <x v="0"/>
    <x v="0"/>
    <x v="0"/>
    <x v="2"/>
    <x v="1"/>
    <x v="2"/>
    <x v="0"/>
  </r>
  <r>
    <x v="0"/>
    <x v="11"/>
    <x v="0"/>
    <n v="2"/>
    <n v="3"/>
    <n v="7"/>
    <n v="5"/>
    <n v="4"/>
    <n v="1"/>
    <n v="6"/>
    <x v="0"/>
    <s v="Returns"/>
    <x v="0"/>
    <x v="0"/>
    <x v="0"/>
    <s v="Monthly"/>
    <x v="0"/>
    <x v="2"/>
    <x v="1"/>
    <x v="1"/>
    <x v="0"/>
    <x v="1"/>
    <x v="2"/>
    <x v="1"/>
  </r>
  <r>
    <x v="1"/>
    <x v="5"/>
    <x v="0"/>
    <n v="2"/>
    <n v="3"/>
    <n v="7"/>
    <n v="5"/>
    <n v="4"/>
    <n v="1"/>
    <n v="6"/>
    <x v="0"/>
    <s v="Returns"/>
    <x v="0"/>
    <x v="0"/>
    <x v="0"/>
    <s v="Monthly"/>
    <x v="0"/>
    <x v="0"/>
    <x v="1"/>
    <x v="0"/>
    <x v="2"/>
    <x v="1"/>
    <x v="2"/>
    <x v="0"/>
  </r>
  <r>
    <x v="0"/>
    <x v="10"/>
    <x v="0"/>
    <n v="3"/>
    <n v="2"/>
    <n v="7"/>
    <n v="5"/>
    <n v="4"/>
    <n v="1"/>
    <n v="6"/>
    <x v="0"/>
    <s v="Risk"/>
    <x v="2"/>
    <x v="0"/>
    <x v="0"/>
    <s v="Monthly"/>
    <x v="0"/>
    <x v="2"/>
    <x v="1"/>
    <x v="0"/>
    <x v="2"/>
    <x v="1"/>
    <x v="2"/>
    <x v="2"/>
  </r>
  <r>
    <x v="1"/>
    <x v="5"/>
    <x v="0"/>
    <n v="3"/>
    <n v="2"/>
    <n v="7"/>
    <n v="4"/>
    <n v="5"/>
    <n v="1"/>
    <n v="6"/>
    <x v="0"/>
    <s v="Returns"/>
    <x v="0"/>
    <x v="0"/>
    <x v="0"/>
    <s v="Monthly"/>
    <x v="0"/>
    <x v="0"/>
    <x v="0"/>
    <x v="0"/>
    <x v="0"/>
    <x v="1"/>
    <x v="2"/>
    <x v="1"/>
  </r>
  <r>
    <x v="1"/>
    <x v="9"/>
    <x v="0"/>
    <n v="3"/>
    <n v="2"/>
    <n v="7"/>
    <n v="4"/>
    <n v="5"/>
    <n v="1"/>
    <n v="6"/>
    <x v="0"/>
    <s v="Risk"/>
    <x v="0"/>
    <x v="0"/>
    <x v="0"/>
    <s v="Monthly"/>
    <x v="0"/>
    <x v="0"/>
    <x v="0"/>
    <x v="0"/>
    <x v="0"/>
    <x v="1"/>
    <x v="2"/>
    <x v="0"/>
  </r>
  <r>
    <x v="1"/>
    <x v="12"/>
    <x v="0"/>
    <n v="3"/>
    <n v="4"/>
    <n v="6"/>
    <n v="5"/>
    <n v="1"/>
    <n v="2"/>
    <n v="7"/>
    <x v="0"/>
    <s v="Risk"/>
    <x v="0"/>
    <x v="0"/>
    <x v="2"/>
    <s v="Monthly"/>
    <x v="0"/>
    <x v="2"/>
    <x v="1"/>
    <x v="0"/>
    <x v="2"/>
    <x v="1"/>
    <x v="2"/>
    <x v="0"/>
  </r>
  <r>
    <x v="1"/>
    <x v="9"/>
    <x v="0"/>
    <n v="2"/>
    <n v="4"/>
    <n v="7"/>
    <n v="5"/>
    <n v="3"/>
    <n v="1"/>
    <n v="6"/>
    <x v="0"/>
    <s v="Returns"/>
    <x v="2"/>
    <x v="0"/>
    <x v="2"/>
    <s v="Weekly"/>
    <x v="0"/>
    <x v="0"/>
    <x v="0"/>
    <x v="0"/>
    <x v="0"/>
    <x v="1"/>
    <x v="0"/>
    <x v="1"/>
  </r>
  <r>
    <x v="0"/>
    <x v="4"/>
    <x v="0"/>
    <n v="2"/>
    <n v="4"/>
    <n v="5"/>
    <n v="6"/>
    <n v="3"/>
    <n v="1"/>
    <n v="7"/>
    <x v="0"/>
    <s v="Risk"/>
    <x v="0"/>
    <x v="0"/>
    <x v="2"/>
    <s v="Monthly"/>
    <x v="0"/>
    <x v="1"/>
    <x v="1"/>
    <x v="0"/>
    <x v="0"/>
    <x v="1"/>
    <x v="2"/>
    <x v="0"/>
  </r>
  <r>
    <x v="1"/>
    <x v="5"/>
    <x v="0"/>
    <n v="3"/>
    <n v="4"/>
    <n v="6"/>
    <n v="5"/>
    <n v="2"/>
    <n v="1"/>
    <n v="7"/>
    <x v="0"/>
    <s v="Returns"/>
    <x v="0"/>
    <x v="0"/>
    <x v="2"/>
    <s v="Monthly"/>
    <x v="0"/>
    <x v="0"/>
    <x v="0"/>
    <x v="0"/>
    <x v="0"/>
    <x v="1"/>
    <x v="2"/>
    <x v="1"/>
  </r>
  <r>
    <x v="1"/>
    <x v="11"/>
    <x v="0"/>
    <n v="2"/>
    <n v="4"/>
    <n v="6"/>
    <n v="5"/>
    <n v="3"/>
    <n v="1"/>
    <n v="7"/>
    <x v="0"/>
    <s v="Risk"/>
    <x v="2"/>
    <x v="1"/>
    <x v="2"/>
    <s v="Weekly"/>
    <x v="0"/>
    <x v="3"/>
    <x v="1"/>
    <x v="2"/>
    <x v="0"/>
    <x v="1"/>
    <x v="2"/>
    <x v="1"/>
  </r>
  <r>
    <x v="0"/>
    <x v="12"/>
    <x v="0"/>
    <n v="2"/>
    <n v="3"/>
    <n v="7"/>
    <n v="5"/>
    <n v="4"/>
    <n v="1"/>
    <n v="6"/>
    <x v="0"/>
    <s v="Returns"/>
    <x v="0"/>
    <x v="0"/>
    <x v="2"/>
    <s v="Monthly"/>
    <x v="2"/>
    <x v="3"/>
    <x v="0"/>
    <x v="0"/>
    <x v="0"/>
    <x v="1"/>
    <x v="2"/>
    <x v="0"/>
  </r>
  <r>
    <x v="0"/>
    <x v="13"/>
    <x v="0"/>
    <n v="3"/>
    <n v="4"/>
    <n v="7"/>
    <n v="5"/>
    <n v="1"/>
    <n v="2"/>
    <n v="6"/>
    <x v="0"/>
    <s v="Risk"/>
    <x v="2"/>
    <x v="0"/>
    <x v="2"/>
    <s v="Monthly"/>
    <x v="0"/>
    <x v="0"/>
    <x v="0"/>
    <x v="0"/>
    <x v="0"/>
    <x v="1"/>
    <x v="0"/>
    <x v="1"/>
  </r>
  <r>
    <x v="1"/>
    <x v="12"/>
    <x v="0"/>
    <n v="3"/>
    <n v="4"/>
    <n v="6"/>
    <n v="5"/>
    <n v="1"/>
    <n v="2"/>
    <n v="7"/>
    <x v="0"/>
    <s v="Returns"/>
    <x v="0"/>
    <x v="0"/>
    <x v="2"/>
    <s v="Monthly"/>
    <x v="0"/>
    <x v="0"/>
    <x v="0"/>
    <x v="1"/>
    <x v="2"/>
    <x v="1"/>
    <x v="0"/>
    <x v="1"/>
  </r>
  <r>
    <x v="1"/>
    <x v="8"/>
    <x v="0"/>
    <n v="2"/>
    <n v="3"/>
    <n v="7"/>
    <n v="6"/>
    <n v="4"/>
    <n v="1"/>
    <n v="5"/>
    <x v="0"/>
    <s v="Risk"/>
    <x v="2"/>
    <x v="1"/>
    <x v="0"/>
    <s v="Monthly"/>
    <x v="0"/>
    <x v="2"/>
    <x v="1"/>
    <x v="0"/>
    <x v="2"/>
    <x v="0"/>
    <x v="0"/>
    <x v="2"/>
  </r>
  <r>
    <x v="1"/>
    <x v="9"/>
    <x v="0"/>
    <n v="2"/>
    <n v="3"/>
    <n v="6"/>
    <n v="5"/>
    <n v="1"/>
    <n v="4"/>
    <n v="7"/>
    <x v="0"/>
    <s v="Returns"/>
    <x v="0"/>
    <x v="0"/>
    <x v="0"/>
    <s v="Monthly"/>
    <x v="0"/>
    <x v="1"/>
    <x v="0"/>
    <x v="0"/>
    <x v="0"/>
    <x v="1"/>
    <x v="2"/>
    <x v="2"/>
  </r>
  <r>
    <x v="0"/>
    <x v="0"/>
    <x v="0"/>
    <n v="5"/>
    <n v="4"/>
    <n v="3"/>
    <n v="2"/>
    <n v="7"/>
    <n v="1"/>
    <n v="6"/>
    <x v="0"/>
    <s v="Returns"/>
    <x v="1"/>
    <x v="2"/>
    <x v="2"/>
    <s v="Monthly"/>
    <x v="1"/>
    <x v="0"/>
    <x v="0"/>
    <x v="0"/>
    <x v="1"/>
    <x v="0"/>
    <x v="0"/>
    <x v="0"/>
  </r>
  <r>
    <x v="1"/>
    <x v="5"/>
    <x v="0"/>
    <n v="4"/>
    <n v="5"/>
    <n v="1"/>
    <n v="2"/>
    <n v="7"/>
    <n v="3"/>
    <n v="6"/>
    <x v="1"/>
    <s v="Returns"/>
    <x v="2"/>
    <x v="0"/>
    <x v="0"/>
    <s v="Monthly"/>
    <x v="1"/>
    <x v="0"/>
    <x v="2"/>
    <x v="0"/>
    <x v="1"/>
    <x v="0"/>
    <x v="0"/>
    <x v="2"/>
  </r>
  <r>
    <x v="0"/>
    <x v="8"/>
    <x v="0"/>
    <n v="2"/>
    <n v="4"/>
    <n v="7"/>
    <n v="6"/>
    <n v="3"/>
    <n v="1"/>
    <n v="5"/>
    <x v="0"/>
    <s v="Returns"/>
    <x v="0"/>
    <x v="0"/>
    <x v="2"/>
    <s v="Monthly"/>
    <x v="0"/>
    <x v="2"/>
    <x v="0"/>
    <x v="0"/>
    <x v="0"/>
    <x v="1"/>
    <x v="0"/>
    <x v="1"/>
  </r>
  <r>
    <x v="1"/>
    <x v="5"/>
    <x v="0"/>
    <n v="2"/>
    <n v="4"/>
    <n v="7"/>
    <n v="5"/>
    <n v="1"/>
    <n v="3"/>
    <n v="6"/>
    <x v="0"/>
    <s v="Returns"/>
    <x v="0"/>
    <x v="0"/>
    <x v="2"/>
    <s v="Monthly"/>
    <x v="2"/>
    <x v="1"/>
    <x v="1"/>
    <x v="0"/>
    <x v="2"/>
    <x v="1"/>
    <x v="0"/>
    <x v="0"/>
  </r>
  <r>
    <x v="1"/>
    <x v="12"/>
    <x v="0"/>
    <n v="2"/>
    <n v="3"/>
    <n v="6"/>
    <n v="4"/>
    <n v="1"/>
    <n v="5"/>
    <n v="7"/>
    <x v="0"/>
    <s v="Returns"/>
    <x v="0"/>
    <x v="2"/>
    <x v="0"/>
    <s v="Monthly"/>
    <x v="0"/>
    <x v="2"/>
    <x v="2"/>
    <x v="1"/>
    <x v="0"/>
    <x v="0"/>
    <x v="2"/>
    <x v="0"/>
  </r>
  <r>
    <x v="1"/>
    <x v="5"/>
    <x v="0"/>
    <n v="2"/>
    <n v="3"/>
    <n v="6"/>
    <n v="5"/>
    <n v="4"/>
    <n v="1"/>
    <n v="7"/>
    <x v="0"/>
    <s v="Returns"/>
    <x v="0"/>
    <x v="0"/>
    <x v="0"/>
    <s v="Weekly"/>
    <x v="0"/>
    <x v="0"/>
    <x v="1"/>
    <x v="0"/>
    <x v="0"/>
    <x v="0"/>
    <x v="0"/>
    <x v="1"/>
  </r>
  <r>
    <x v="1"/>
    <x v="2"/>
    <x v="0"/>
    <n v="1"/>
    <n v="4"/>
    <n v="6"/>
    <n v="5"/>
    <n v="3"/>
    <n v="2"/>
    <n v="7"/>
    <x v="0"/>
    <s v="Risk"/>
    <x v="2"/>
    <x v="0"/>
    <x v="2"/>
    <s v="Monthly"/>
    <x v="0"/>
    <x v="2"/>
    <x v="1"/>
    <x v="0"/>
    <x v="0"/>
    <x v="1"/>
    <x v="0"/>
    <x v="1"/>
  </r>
  <r>
    <x v="1"/>
    <x v="2"/>
    <x v="0"/>
    <n v="2"/>
    <n v="4"/>
    <n v="7"/>
    <n v="5"/>
    <n v="1"/>
    <n v="3"/>
    <n v="6"/>
    <x v="0"/>
    <s v="Returns"/>
    <x v="0"/>
    <x v="0"/>
    <x v="0"/>
    <s v="Monthly"/>
    <x v="0"/>
    <x v="1"/>
    <x v="0"/>
    <x v="0"/>
    <x v="0"/>
    <x v="1"/>
    <x v="2"/>
    <x v="0"/>
  </r>
  <r>
    <x v="1"/>
    <x v="11"/>
    <x v="0"/>
    <n v="5"/>
    <n v="4"/>
    <n v="7"/>
    <n v="6"/>
    <n v="1"/>
    <n v="2"/>
    <n v="3"/>
    <x v="0"/>
    <s v="Risk"/>
    <x v="2"/>
    <x v="1"/>
    <x v="2"/>
    <s v="Monthly"/>
    <x v="2"/>
    <x v="3"/>
    <x v="1"/>
    <x v="0"/>
    <x v="0"/>
    <x v="0"/>
    <x v="0"/>
    <x v="1"/>
  </r>
  <r>
    <x v="1"/>
    <x v="8"/>
    <x v="0"/>
    <n v="2"/>
    <n v="4"/>
    <n v="7"/>
    <n v="5"/>
    <n v="3"/>
    <n v="1"/>
    <n v="6"/>
    <x v="0"/>
    <s v="Risk"/>
    <x v="2"/>
    <x v="0"/>
    <x v="0"/>
    <s v="Weekly"/>
    <x v="0"/>
    <x v="1"/>
    <x v="1"/>
    <x v="1"/>
    <x v="2"/>
    <x v="1"/>
    <x v="0"/>
    <x v="0"/>
  </r>
  <r>
    <x v="1"/>
    <x v="9"/>
    <x v="0"/>
    <n v="4"/>
    <n v="3"/>
    <n v="5"/>
    <n v="7"/>
    <n v="2"/>
    <n v="1"/>
    <n v="6"/>
    <x v="0"/>
    <s v="Returns"/>
    <x v="0"/>
    <x v="0"/>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388BC-6862-4B08-9034-1B663D3162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5" firstHeaderRow="1" firstDataRow="1" firstDataCol="1"/>
  <pivotFields count="24">
    <pivotField axis="axisRow" dataField="1"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8411B7-249D-4D0F-A8E3-0D0A1D7875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5">
        <item x="0"/>
        <item x="2"/>
        <item x="3"/>
        <item x="1"/>
        <item t="default"/>
      </items>
    </pivotField>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venue" fld="17" subtotal="count"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3A68D-57BB-4FEA-AE05-5896132FD5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1:E27" firstHeaderRow="1" firstDataRow="2"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Col" showAll="0">
      <items count="4">
        <item x="0"/>
        <item x="2"/>
        <item x="1"/>
        <item t="default"/>
      </items>
    </pivotField>
    <pivotField showAll="0">
      <items count="4">
        <item x="2"/>
        <item x="1"/>
        <item x="0"/>
        <item t="default"/>
      </items>
    </pivotField>
    <pivotField showAll="0">
      <items count="5">
        <item x="0"/>
        <item x="2"/>
        <item x="3"/>
        <item x="1"/>
        <item t="default"/>
      </items>
    </pivotField>
    <pivotField showAll="0"/>
    <pivotField showAll="0"/>
    <pivotField axis="axisRow" dataField="1" showAll="0">
      <items count="5">
        <item x="1"/>
        <item x="2"/>
        <item x="0"/>
        <item x="3"/>
        <item t="default"/>
      </items>
    </pivotField>
    <pivotField showAll="0">
      <items count="4">
        <item x="2"/>
        <item x="1"/>
        <item x="0"/>
        <item t="default"/>
      </items>
    </pivotField>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pivotFields>
  <rowFields count="1">
    <field x="17"/>
  </rowFields>
  <rowItems count="5">
    <i>
      <x/>
    </i>
    <i>
      <x v="1"/>
    </i>
    <i>
      <x v="2"/>
    </i>
    <i>
      <x v="3"/>
    </i>
    <i t="grand">
      <x/>
    </i>
  </rowItems>
  <colFields count="1">
    <field x="12"/>
  </colFields>
  <colItems count="4">
    <i>
      <x/>
    </i>
    <i>
      <x v="1"/>
    </i>
    <i>
      <x v="2"/>
    </i>
    <i t="grand">
      <x/>
    </i>
  </colItems>
  <dataFields count="1">
    <dataField name="Count of Avenue" fld="17" subtotal="count" baseField="0" baseItem="0"/>
  </dataFields>
  <chartFormats count="3">
    <chartFormat chart="20" format="6" series="1">
      <pivotArea type="data" outline="0" fieldPosition="0">
        <references count="1">
          <reference field="12" count="1" selected="0">
            <x v="0"/>
          </reference>
        </references>
      </pivotArea>
    </chartFormat>
    <chartFormat chart="20" format="7" series="1">
      <pivotArea type="data" outline="0" fieldPosition="0">
        <references count="1">
          <reference field="12" count="1" selected="0">
            <x v="1"/>
          </reference>
        </references>
      </pivotArea>
    </chartFormat>
    <chartFormat chart="20" format="8" series="1">
      <pivotArea type="data" outline="0" fieldPosition="0">
        <references count="1">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97591-31EE-45B2-BE37-AD040FEFB9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items count="5">
        <item x="1"/>
        <item x="2"/>
        <item x="0"/>
        <item x="3"/>
        <item t="default"/>
      </items>
    </pivotField>
    <pivotField axis="axisRow" dataField="1" showAll="0">
      <items count="4">
        <item x="2"/>
        <item x="1"/>
        <item x="0"/>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Participants" fld="18" subtotal="count" baseField="18"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8" count="1" selected="0">
            <x v="0"/>
          </reference>
        </references>
      </pivotArea>
    </chartFormat>
    <chartFormat chart="4" format="10">
      <pivotArea type="data" outline="0" fieldPosition="0">
        <references count="2">
          <reference field="4294967294" count="1" selected="0">
            <x v="0"/>
          </reference>
          <reference field="18" count="1" selected="0">
            <x v="1"/>
          </reference>
        </references>
      </pivotArea>
    </chartFormat>
    <chartFormat chart="4"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8A407-2C39-41DD-A8B2-99A37BCE8E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1"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items count="5">
        <item x="1"/>
        <item x="2"/>
        <item x="0"/>
        <item x="3"/>
        <item t="default"/>
      </items>
    </pivotField>
    <pivotField showAll="0">
      <items count="4">
        <item x="2"/>
        <item x="1"/>
        <item x="0"/>
        <item t="default"/>
      </items>
    </pivotField>
    <pivotField showAll="0"/>
    <pivotField showAll="0"/>
    <pivotField showAll="0"/>
    <pivotField showAll="0"/>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Number of Participants" fld="23" subtotal="count" baseField="23"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EE10F2-B2FC-4D69-93D5-4DFF3A1841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nonAutoSortDefault="1">
      <items count="5">
        <item x="3"/>
        <item x="0"/>
        <item x="2"/>
        <item x="1"/>
        <item t="default"/>
      </items>
    </pivotField>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Participants" fld="14" subtotal="count" baseField="14"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4" count="1" selected="0">
            <x v="2"/>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E65E67-5A4D-460C-9446-598417C269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3:B27"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axis="axisRow" dataField="1"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6" count="1" selected="0">
            <x v="1"/>
          </reference>
        </references>
      </pivotArea>
    </chartFormat>
    <chartFormat chart="14" format="4">
      <pivotArea type="data" outline="0" fieldPosition="0">
        <references count="2">
          <reference field="4294967294" count="1" selected="0">
            <x v="0"/>
          </reference>
          <reference field="16" count="1" selected="0">
            <x v="0"/>
          </reference>
        </references>
      </pivotArea>
    </chartFormat>
    <chartFormat chart="14"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21F447-E2D4-403B-8CAC-7C83DC5406F6}" autoFormatId="16" applyNumberFormats="0" applyBorderFormats="0" applyFontFormats="0" applyPatternFormats="0" applyAlignmentFormats="0" applyWidthHeightFormats="0">
  <queryTableRefresh nextId="25">
    <queryTableFields count="24">
      <queryTableField id="1" name="gender" tableColumnId="1"/>
      <queryTableField id="2" name="age" tableColumnId="2"/>
      <queryTableField id="3" name="Investment_Avenues" tableColumnId="3"/>
      <queryTableField id="4" name="Mutual_Funds" tableColumnId="4"/>
      <queryTableField id="5" name="Equity_Market" tableColumnId="5"/>
      <queryTableField id="6" name="Debentures" tableColumnId="6"/>
      <queryTableField id="7" name="Government_Bonds" tableColumnId="7"/>
      <queryTableField id="8" name="Fixed_Deposits" tableColumnId="8"/>
      <queryTableField id="9" name="PPF" tableColumnId="9"/>
      <queryTableField id="10" name="Gold" tableColumnId="10"/>
      <queryTableField id="11" name="Stock_Marktet" tableColumnId="11"/>
      <queryTableField id="12" name="Factor" tableColumnId="12"/>
      <queryTableField id="13" name="Objective" tableColumnId="13"/>
      <queryTableField id="14" name="Purpose" tableColumnId="14"/>
      <queryTableField id="15" name="Duration" tableColumnId="15"/>
      <queryTableField id="16" name="Invest_Monitor" tableColumnId="16"/>
      <queryTableField id="17" name="Expect" tableColumnId="17"/>
      <queryTableField id="18" name="Avenue" tableColumnId="18"/>
      <queryTableField id="19" name="What are your savings objectives?" tableColumnId="19"/>
      <queryTableField id="20" name="Reason_Equity" tableColumnId="20"/>
      <queryTableField id="21" name="Reason_Mutual" tableColumnId="21"/>
      <queryTableField id="22" name="Reason_Bonds" tableColumnId="22"/>
      <queryTableField id="23" name="Reason_FD" tableColumnId="23"/>
      <queryTableField id="24" name="Sourc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3D50E7-78A7-4D9A-8A69-202361569385}" sourceName="gender">
  <pivotTables>
    <pivotTable tabId="3" name="PivotTable1"/>
    <pivotTable tabId="1" name="PivotTable1"/>
    <pivotTable tabId="3" name="PivotTable3"/>
    <pivotTable tabId="4" name="PivotTable1"/>
    <pivotTable tabId="4" name="PivotTable2"/>
    <pivotTable tabId="5" name="PivotTable1"/>
    <pivotTable tabId="5" name="PivotTable2"/>
  </pivotTables>
  <data>
    <tabular pivotCacheId="20695249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3E1E394-C663-48FA-91E3-2053924C6791}" cache="Slicer_gender" caption="gender"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264A0-70C0-40DD-8691-26366BB43BE1}" name="Data_set_2" displayName="Data_set_2" ref="A1:X41" tableType="queryTable" totalsRowShown="0">
  <autoFilter ref="A1:X41" xr:uid="{B8B264A0-70C0-40DD-8691-26366BB43BE1}"/>
  <tableColumns count="24">
    <tableColumn id="1" xr3:uid="{4768FC7A-2136-4A1F-996D-CC13B1C89F93}" uniqueName="1" name="gender" queryTableFieldId="1" dataDxfId="24"/>
    <tableColumn id="2" xr3:uid="{80642C42-B5B9-440B-878F-FEC3D854B50E}" uniqueName="2" name="age" queryTableFieldId="2"/>
    <tableColumn id="3" xr3:uid="{A0C11E70-EE63-444B-BECF-6D47C57973A5}" uniqueName="3" name="Investment_Avenues" queryTableFieldId="3" dataDxfId="23"/>
    <tableColumn id="4" xr3:uid="{4F1DB176-4276-4060-9FEF-E4D5CE7683C8}" uniqueName="4" name="Mutual_Funds" queryTableFieldId="4"/>
    <tableColumn id="5" xr3:uid="{C6889101-2B90-444C-9BE1-49AEBC6F4878}" uniqueName="5" name="Equity_Market" queryTableFieldId="5"/>
    <tableColumn id="6" xr3:uid="{1782CF41-61DA-4B67-B2C6-42EE00615B90}" uniqueName="6" name="Debentures" queryTableFieldId="6"/>
    <tableColumn id="7" xr3:uid="{9DC9ADE3-577D-42D5-A14B-D48A3D9916B3}" uniqueName="7" name="Government_Bonds" queryTableFieldId="7"/>
    <tableColumn id="8" xr3:uid="{01AB0E73-708C-479E-A0B1-BA8EE34B9244}" uniqueName="8" name="Fixed_Deposits" queryTableFieldId="8"/>
    <tableColumn id="9" xr3:uid="{5222A7A5-8EC9-48B1-93B8-B73B63AD2C48}" uniqueName="9" name="PPF" queryTableFieldId="9"/>
    <tableColumn id="10" xr3:uid="{F145B67B-2533-4ABE-A226-51A43436D9E3}" uniqueName="10" name="Gold" queryTableFieldId="10"/>
    <tableColumn id="11" xr3:uid="{98EAC648-870B-47B8-B8A2-7DC3C3EB9B31}" uniqueName="11" name="Stock_Marktet" queryTableFieldId="11" dataDxfId="22"/>
    <tableColumn id="12" xr3:uid="{9FBF3353-890D-486A-8B5F-006D13515799}" uniqueName="12" name="Factor" queryTableFieldId="12" dataDxfId="21"/>
    <tableColumn id="13" xr3:uid="{D2B099C0-E0AF-4298-B077-E54C72DECB40}" uniqueName="13" name="Objective" queryTableFieldId="13" dataDxfId="20"/>
    <tableColumn id="14" xr3:uid="{A1218093-8280-45AC-B589-17FEEDA21B82}" uniqueName="14" name="Purpose" queryTableFieldId="14" dataDxfId="19"/>
    <tableColumn id="15" xr3:uid="{A7168117-113B-46C7-8387-6810648D1F0E}" uniqueName="15" name="Duration" queryTableFieldId="15" dataDxfId="18"/>
    <tableColumn id="16" xr3:uid="{10170AED-4646-4E7A-957C-353761612CA7}" uniqueName="16" name="Invest_Monitor" queryTableFieldId="16" dataDxfId="17"/>
    <tableColumn id="17" xr3:uid="{6527644A-A859-4C9C-98CD-C734353A2AC3}" uniqueName="17" name="Expect" queryTableFieldId="17" dataDxfId="16"/>
    <tableColumn id="18" xr3:uid="{07EE5EA2-A3D6-44C0-8789-BAB420A8F0B5}" uniqueName="18" name="Avenue" queryTableFieldId="18" dataDxfId="15"/>
    <tableColumn id="19" xr3:uid="{A75152C3-C375-4C9C-AD63-F966A4DF1D52}" uniqueName="19" name="What are your savings objectives?" queryTableFieldId="19" dataDxfId="14"/>
    <tableColumn id="20" xr3:uid="{BEC57BE4-7574-4106-B69D-B4D41D0D0E17}" uniqueName="20" name="Reason_Equity" queryTableFieldId="20" dataDxfId="13"/>
    <tableColumn id="21" xr3:uid="{13A280A8-908B-41BE-A9CA-FB4B1516F18F}" uniqueName="21" name="Reason_Mutual" queryTableFieldId="21" dataDxfId="12"/>
    <tableColumn id="22" xr3:uid="{2C27A55A-4ED6-494D-A654-0D40390C1B91}" uniqueName="22" name="Reason_Bonds" queryTableFieldId="22" dataDxfId="11"/>
    <tableColumn id="23" xr3:uid="{C4AF981B-7CAB-44C9-9B8E-9334AAED766B}" uniqueName="23" name="Reason_FD" queryTableFieldId="23" dataDxfId="10"/>
    <tableColumn id="24" xr3:uid="{C2CE806E-529F-4AFF-B79F-E597A2B3D026}" uniqueName="24" name="Source" queryTableFieldId="24" dataDxfId="9"/>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86C378-62A0-4473-AE49-6E2B05BFE321}" name="Table3" displayName="Table3" ref="B1:E41" totalsRowShown="0">
  <autoFilter ref="B1:E41" xr:uid="{0386C378-62A0-4473-AE49-6E2B05BFE321}"/>
  <tableColumns count="4">
    <tableColumn id="2" xr3:uid="{16BC1371-350D-4F70-AB0A-253C117786A5}" name="Duration"/>
    <tableColumn id="3" xr3:uid="{F49333D8-6F9B-4301-88C0-E6B9345515FD}" name="Expect"/>
    <tableColumn id="4" xr3:uid="{2B56E8E3-106E-4AE7-819B-9E203FFCD379}" name="Duration_Code" dataDxfId="8">
      <calculatedColumnFormula>_xlfn.XLOOKUP(Table3[[#This Row],[Duration]], Table4[Duration],Table4[Code])</calculatedColumnFormula>
    </tableColumn>
    <tableColumn id="5" xr3:uid="{B4DE3485-A756-44FF-8D1F-149F87632B2D}" name="Expect_Code" dataDxfId="7">
      <calculatedColumnFormula>_xlfn.XLOOKUP(Table3[[#This Row],[Expect]], Table5[Expect], Table5[Code])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583C16-1D81-4642-BBA2-84F65BBA1E64}" name="Table4" displayName="Table4" ref="Q1:R5" totalsRowShown="0">
  <autoFilter ref="Q1:R5" xr:uid="{B0583C16-1D81-4642-BBA2-84F65BBA1E64}"/>
  <tableColumns count="2">
    <tableColumn id="1" xr3:uid="{8E8B881D-9F4F-424E-B1DE-DC4019C59E9C}" name="Duration" dataDxfId="6"/>
    <tableColumn id="2" xr3:uid="{100554FE-154F-401A-8A27-76FFCECC69D4}" name="Code"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FF9107-3B51-4C7B-9504-88D70F492BC6}" name="Table5" displayName="Table5" ref="Q9:R12" totalsRowShown="0" headerRowBorderDxfId="4" tableBorderDxfId="3">
  <autoFilter ref="Q9:R12" xr:uid="{03FF9107-3B51-4C7B-9504-88D70F492BC6}"/>
  <tableColumns count="2">
    <tableColumn id="1" xr3:uid="{B74A45DA-E443-4602-B7F4-2A6A2DCB277E}" name="Expect" dataDxfId="2"/>
    <tableColumn id="2" xr3:uid="{D8362D0B-9D60-4992-B9FA-21235E6BEB08}" name="Co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06AAA9-1255-403A-B613-A57262BE4DC4}" name="Table6" displayName="Table6" ref="A1:A41" totalsRowShown="0" headerRowDxfId="1">
  <autoFilter ref="A1:A41" xr:uid="{B506AAA9-1255-403A-B613-A57262BE4DC4}"/>
  <tableColumns count="1">
    <tableColumn id="1" xr3:uid="{136487A5-B447-4862-ACB0-19FCCB321488}" name="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1861-E5BA-4E83-B3B5-2DDFEFA2A661}">
  <dimension ref="A1:AH41"/>
  <sheetViews>
    <sheetView zoomScale="96" workbookViewId="0">
      <selection activeCell="H33" sqref="H33"/>
    </sheetView>
  </sheetViews>
  <sheetFormatPr defaultRowHeight="14.4" x14ac:dyDescent="0.3"/>
  <cols>
    <col min="1" max="1" width="9.109375" bestFit="1" customWidth="1"/>
    <col min="2" max="2" width="6.21875" bestFit="1" customWidth="1"/>
    <col min="3" max="3" width="21.21875" bestFit="1" customWidth="1"/>
    <col min="4" max="4" width="15.44140625" bestFit="1" customWidth="1"/>
    <col min="5" max="5" width="15.77734375" bestFit="1" customWidth="1"/>
    <col min="6" max="6" width="12.88671875" bestFit="1" customWidth="1"/>
    <col min="7" max="7" width="20.21875" bestFit="1" customWidth="1"/>
    <col min="8" max="8" width="15.77734375" bestFit="1" customWidth="1"/>
    <col min="9" max="9" width="6.33203125" bestFit="1" customWidth="1"/>
    <col min="10" max="10" width="7.109375" bestFit="1" customWidth="1"/>
    <col min="11" max="11" width="15.77734375" bestFit="1" customWidth="1"/>
    <col min="12" max="12" width="12.77734375" bestFit="1" customWidth="1"/>
    <col min="13" max="13" width="17.6640625" bestFit="1" customWidth="1"/>
    <col min="14" max="14" width="15.5546875" bestFit="1" customWidth="1"/>
    <col min="15" max="15" width="15.88671875" bestFit="1" customWidth="1"/>
    <col min="16" max="16" width="16.33203125" bestFit="1" customWidth="1"/>
    <col min="17" max="17" width="8.77734375" bestFit="1" customWidth="1"/>
    <col min="18" max="18" width="18.5546875" bestFit="1" customWidth="1"/>
    <col min="19" max="19" width="32.21875" bestFit="1" customWidth="1"/>
    <col min="20" max="20" width="17.6640625" bestFit="1" customWidth="1"/>
    <col min="21" max="21" width="17.21875" bestFit="1" customWidth="1"/>
    <col min="22" max="22" width="15.6640625" bestFit="1" customWidth="1"/>
    <col min="23" max="23" width="16.44140625" bestFit="1" customWidth="1"/>
    <col min="24" max="24" width="23.77734375" bestFit="1" customWidth="1"/>
    <col min="34" max="34" width="12.6640625"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AH1" t="s">
        <v>102</v>
      </c>
    </row>
    <row r="2" spans="1:34"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c r="AH2" t="s">
        <v>24</v>
      </c>
    </row>
    <row r="3" spans="1:34"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c r="AH3" t="s">
        <v>24</v>
      </c>
    </row>
    <row r="4" spans="1:34"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c r="AH4" t="s">
        <v>46</v>
      </c>
    </row>
    <row r="5" spans="1:34"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c r="AH5" t="s">
        <v>46</v>
      </c>
    </row>
    <row r="6" spans="1:34"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c r="AH6" t="s">
        <v>24</v>
      </c>
    </row>
    <row r="7" spans="1:34"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c r="AH7" t="s">
        <v>24</v>
      </c>
    </row>
    <row r="8" spans="1:34"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c r="AH8" t="s">
        <v>24</v>
      </c>
    </row>
    <row r="9" spans="1:34"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c r="AH9" t="s">
        <v>46</v>
      </c>
    </row>
    <row r="10" spans="1:34"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c r="AH10" t="s">
        <v>46</v>
      </c>
    </row>
    <row r="11" spans="1:34"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c r="AH11" t="s">
        <v>46</v>
      </c>
    </row>
    <row r="12" spans="1:34"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c r="AH12" t="s">
        <v>24</v>
      </c>
    </row>
    <row r="13" spans="1:34"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c r="AH13" t="s">
        <v>46</v>
      </c>
    </row>
    <row r="14" spans="1:34"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c r="AH14" t="s">
        <v>24</v>
      </c>
    </row>
    <row r="15" spans="1:34"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c r="AH15" t="s">
        <v>24</v>
      </c>
    </row>
    <row r="16" spans="1:34"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c r="AH16" t="s">
        <v>24</v>
      </c>
    </row>
    <row r="17" spans="1:3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c r="AH17" t="s">
        <v>46</v>
      </c>
    </row>
    <row r="18" spans="1:3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c r="AH18" t="s">
        <v>24</v>
      </c>
    </row>
    <row r="19" spans="1:3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c r="AH19" t="s">
        <v>46</v>
      </c>
    </row>
    <row r="20" spans="1:3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c r="AH20" t="s">
        <v>46</v>
      </c>
    </row>
    <row r="21" spans="1:3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c r="AH21" t="s">
        <v>46</v>
      </c>
    </row>
    <row r="22" spans="1:3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c r="AH22" t="s">
        <v>46</v>
      </c>
    </row>
    <row r="23" spans="1:3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c r="AH23" t="s">
        <v>24</v>
      </c>
    </row>
    <row r="24" spans="1:3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c r="AH24" t="s">
        <v>46</v>
      </c>
    </row>
    <row r="25" spans="1:3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c r="AH25" t="s">
        <v>46</v>
      </c>
    </row>
    <row r="26" spans="1:3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c r="AH26" t="s">
        <v>24</v>
      </c>
    </row>
    <row r="27" spans="1:3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c r="AH27" t="s">
        <v>24</v>
      </c>
    </row>
    <row r="28" spans="1:3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c r="AH28" t="s">
        <v>46</v>
      </c>
    </row>
    <row r="29" spans="1:3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c r="AH29" t="s">
        <v>46</v>
      </c>
    </row>
    <row r="30" spans="1:3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c r="AH30" t="s">
        <v>46</v>
      </c>
    </row>
    <row r="31" spans="1:3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c r="AH31" t="s">
        <v>24</v>
      </c>
    </row>
    <row r="32" spans="1:3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c r="AH32" t="s">
        <v>46</v>
      </c>
    </row>
    <row r="33" spans="1:3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c r="AH33" t="s">
        <v>24</v>
      </c>
    </row>
    <row r="34" spans="1:3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c r="AH34" t="s">
        <v>46</v>
      </c>
    </row>
    <row r="35" spans="1:3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c r="AH35" t="s">
        <v>46</v>
      </c>
    </row>
    <row r="36" spans="1:3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c r="AH36" t="s">
        <v>46</v>
      </c>
    </row>
    <row r="37" spans="1:3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c r="AH37" t="s">
        <v>46</v>
      </c>
    </row>
    <row r="38" spans="1:3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c r="AH38" t="s">
        <v>46</v>
      </c>
    </row>
    <row r="39" spans="1:3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c r="AH39" t="s">
        <v>46</v>
      </c>
    </row>
    <row r="40" spans="1:3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c r="AH40" t="s">
        <v>46</v>
      </c>
    </row>
    <row r="41" spans="1:3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c r="AH4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5DD2-E168-4CD7-8C04-84B53BDC6CAF}">
  <dimension ref="A2:H14"/>
  <sheetViews>
    <sheetView zoomScale="132" workbookViewId="0">
      <selection activeCell="E17" sqref="E17"/>
    </sheetView>
  </sheetViews>
  <sheetFormatPr defaultRowHeight="14.4" x14ac:dyDescent="0.3"/>
  <cols>
    <col min="1" max="1" width="12.5546875" bestFit="1" customWidth="1"/>
    <col min="2" max="2" width="14.77734375" bestFit="1" customWidth="1"/>
  </cols>
  <sheetData>
    <row r="2" spans="1:8" x14ac:dyDescent="0.3">
      <c r="A2" s="1" t="s">
        <v>68</v>
      </c>
      <c r="B2" t="s">
        <v>70</v>
      </c>
    </row>
    <row r="3" spans="1:8" x14ac:dyDescent="0.3">
      <c r="A3" s="2" t="s">
        <v>24</v>
      </c>
      <c r="B3">
        <v>15</v>
      </c>
    </row>
    <row r="4" spans="1:8" x14ac:dyDescent="0.3">
      <c r="A4" s="2" t="s">
        <v>46</v>
      </c>
      <c r="B4">
        <v>25</v>
      </c>
    </row>
    <row r="5" spans="1:8" x14ac:dyDescent="0.3">
      <c r="A5" s="2" t="s">
        <v>69</v>
      </c>
      <c r="B5">
        <v>40</v>
      </c>
    </row>
    <row r="9" spans="1:8" ht="25.8" x14ac:dyDescent="0.3">
      <c r="A9" s="40" t="s">
        <v>118</v>
      </c>
      <c r="B9" s="40"/>
    </row>
    <row r="10" spans="1:8" x14ac:dyDescent="0.3">
      <c r="A10" s="4"/>
    </row>
    <row r="11" spans="1:8" x14ac:dyDescent="0.3">
      <c r="A11" s="31" t="s">
        <v>81</v>
      </c>
      <c r="B11" s="32"/>
      <c r="C11" s="32"/>
      <c r="D11" s="32"/>
      <c r="E11" s="32"/>
      <c r="F11" s="32"/>
      <c r="G11" s="32"/>
      <c r="H11" s="33"/>
    </row>
    <row r="12" spans="1:8" x14ac:dyDescent="0.3">
      <c r="A12" s="34" t="s">
        <v>82</v>
      </c>
      <c r="B12" s="35"/>
      <c r="C12" s="35"/>
      <c r="D12" s="35"/>
      <c r="E12" s="35"/>
      <c r="F12" s="35"/>
      <c r="G12" s="35"/>
      <c r="H12" s="36"/>
    </row>
    <row r="13" spans="1:8" x14ac:dyDescent="0.3">
      <c r="A13" s="34" t="s">
        <v>83</v>
      </c>
      <c r="B13" s="35"/>
      <c r="C13" s="35"/>
      <c r="D13" s="35"/>
      <c r="E13" s="35"/>
      <c r="F13" s="35"/>
      <c r="G13" s="35"/>
      <c r="H13" s="36"/>
    </row>
    <row r="14" spans="1:8" x14ac:dyDescent="0.3">
      <c r="A14" s="37" t="s">
        <v>84</v>
      </c>
      <c r="B14" s="38"/>
      <c r="C14" s="38"/>
      <c r="D14" s="38"/>
      <c r="E14" s="38"/>
      <c r="F14" s="38"/>
      <c r="G14" s="38"/>
      <c r="H14" s="39"/>
    </row>
  </sheetData>
  <mergeCells count="5">
    <mergeCell ref="A11:H11"/>
    <mergeCell ref="A12:H12"/>
    <mergeCell ref="A13:H13"/>
    <mergeCell ref="A14:H14"/>
    <mergeCell ref="A9:B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8C54-71C4-41B4-A503-7209D80B98F3}">
  <dimension ref="A3:I57"/>
  <sheetViews>
    <sheetView zoomScale="88" workbookViewId="0">
      <selection activeCell="G23" sqref="G23"/>
    </sheetView>
  </sheetViews>
  <sheetFormatPr defaultRowHeight="14.4" x14ac:dyDescent="0.3"/>
  <cols>
    <col min="1" max="1" width="18.6640625" bestFit="1" customWidth="1"/>
    <col min="2" max="2" width="18.77734375" bestFit="1" customWidth="1"/>
    <col min="3" max="3" width="7.44140625" bestFit="1" customWidth="1"/>
    <col min="4" max="4" width="7.33203125" bestFit="1" customWidth="1"/>
    <col min="5" max="5" width="11.109375" bestFit="1" customWidth="1"/>
    <col min="6" max="6" width="14.77734375" bestFit="1" customWidth="1"/>
    <col min="7" max="7" width="15.88671875" customWidth="1"/>
    <col min="8" max="8" width="21.6640625" bestFit="1" customWidth="1"/>
    <col min="9" max="9" width="14.6640625" bestFit="1" customWidth="1"/>
    <col min="10" max="10" width="14.77734375" bestFit="1" customWidth="1"/>
    <col min="11" max="11" width="13.109375" bestFit="1" customWidth="1"/>
    <col min="12" max="12" width="10.77734375" bestFit="1" customWidth="1"/>
    <col min="13" max="13" width="14.77734375" bestFit="1" customWidth="1"/>
    <col min="14" max="14" width="17" bestFit="1" customWidth="1"/>
    <col min="15" max="15" width="18.77734375" bestFit="1" customWidth="1"/>
    <col min="16" max="16" width="21.6640625" bestFit="1" customWidth="1"/>
    <col min="17" max="17" width="14.6640625" bestFit="1" customWidth="1"/>
    <col min="18" max="18" width="14.77734375" bestFit="1" customWidth="1"/>
    <col min="19" max="19" width="13.109375" bestFit="1" customWidth="1"/>
    <col min="20" max="20" width="22.5546875" bestFit="1" customWidth="1"/>
    <col min="21" max="21" width="14.6640625" bestFit="1" customWidth="1"/>
    <col min="22" max="22" width="14.77734375" bestFit="1" customWidth="1"/>
    <col min="23" max="23" width="17" bestFit="1" customWidth="1"/>
    <col min="24" max="24" width="15.88671875" bestFit="1" customWidth="1"/>
    <col min="25" max="25" width="10.77734375" bestFit="1" customWidth="1"/>
    <col min="26" max="26" width="14.6640625" bestFit="1" customWidth="1"/>
    <col min="27" max="27" width="14.77734375" bestFit="1" customWidth="1"/>
    <col min="28" max="28" width="13.109375" bestFit="1" customWidth="1"/>
    <col min="29" max="29" width="17.88671875" bestFit="1" customWidth="1"/>
    <col min="30" max="30" width="19.77734375" bestFit="1" customWidth="1"/>
    <col min="31" max="31" width="17" bestFit="1" customWidth="1"/>
    <col min="32" max="32" width="18.77734375" bestFit="1" customWidth="1"/>
    <col min="33" max="33" width="21.6640625" bestFit="1" customWidth="1"/>
    <col min="34" max="34" width="22.5546875" bestFit="1" customWidth="1"/>
    <col min="35" max="35" width="13.21875" bestFit="1" customWidth="1"/>
    <col min="36" max="36" width="15.109375" bestFit="1" customWidth="1"/>
    <col min="37" max="37" width="13.109375" bestFit="1" customWidth="1"/>
    <col min="38" max="38" width="17.88671875" bestFit="1" customWidth="1"/>
    <col min="39" max="39" width="19.77734375" bestFit="1" customWidth="1"/>
    <col min="40" max="40" width="13.109375" bestFit="1" customWidth="1"/>
    <col min="41" max="41" width="22.5546875" bestFit="1" customWidth="1"/>
    <col min="42" max="42" width="12.88671875" bestFit="1" customWidth="1"/>
    <col min="43" max="43" width="10.77734375" bestFit="1" customWidth="1"/>
  </cols>
  <sheetData>
    <row r="3" spans="1:9" x14ac:dyDescent="0.3">
      <c r="A3" s="1" t="s">
        <v>68</v>
      </c>
      <c r="B3" t="s">
        <v>71</v>
      </c>
    </row>
    <row r="4" spans="1:9" x14ac:dyDescent="0.3">
      <c r="A4" s="2" t="s">
        <v>49</v>
      </c>
      <c r="B4">
        <v>10</v>
      </c>
    </row>
    <row r="5" spans="1:9" x14ac:dyDescent="0.3">
      <c r="A5" s="2" t="s">
        <v>65</v>
      </c>
      <c r="B5">
        <v>9</v>
      </c>
    </row>
    <row r="6" spans="1:9" x14ac:dyDescent="0.3">
      <c r="A6" s="2" t="s">
        <v>32</v>
      </c>
      <c r="B6">
        <v>18</v>
      </c>
    </row>
    <row r="7" spans="1:9" x14ac:dyDescent="0.3">
      <c r="A7" s="2" t="s">
        <v>67</v>
      </c>
      <c r="B7">
        <v>3</v>
      </c>
    </row>
    <row r="8" spans="1:9" x14ac:dyDescent="0.3">
      <c r="A8" s="2" t="s">
        <v>69</v>
      </c>
      <c r="B8">
        <v>40</v>
      </c>
    </row>
    <row r="12" spans="1:9" ht="25.8" x14ac:dyDescent="0.3">
      <c r="A12" s="41" t="s">
        <v>118</v>
      </c>
      <c r="B12" s="41"/>
    </row>
    <row r="13" spans="1:9" x14ac:dyDescent="0.3">
      <c r="A13" s="31"/>
      <c r="B13" s="32"/>
      <c r="C13" s="32"/>
      <c r="D13" s="32"/>
      <c r="E13" s="32"/>
      <c r="F13" s="32"/>
      <c r="G13" s="32"/>
      <c r="H13" s="32"/>
      <c r="I13" s="33"/>
    </row>
    <row r="14" spans="1:9" x14ac:dyDescent="0.3">
      <c r="A14" s="34" t="s">
        <v>85</v>
      </c>
      <c r="B14" s="35"/>
      <c r="C14" s="35"/>
      <c r="D14" s="35"/>
      <c r="E14" s="35"/>
      <c r="F14" s="35"/>
      <c r="G14" s="35"/>
      <c r="H14" s="35"/>
      <c r="I14" s="36"/>
    </row>
    <row r="15" spans="1:9" x14ac:dyDescent="0.3">
      <c r="A15" s="45" t="s">
        <v>87</v>
      </c>
      <c r="B15" s="46"/>
      <c r="C15" s="46"/>
      <c r="D15" s="46"/>
      <c r="E15" s="46"/>
      <c r="F15" s="46"/>
      <c r="G15" s="46"/>
      <c r="H15" s="46"/>
      <c r="I15" s="47"/>
    </row>
    <row r="16" spans="1:9" x14ac:dyDescent="0.3">
      <c r="A16" s="11" t="s">
        <v>86</v>
      </c>
      <c r="I16" s="10"/>
    </row>
    <row r="17" spans="1:9" x14ac:dyDescent="0.3">
      <c r="A17" s="42"/>
      <c r="B17" s="43"/>
      <c r="C17" s="43"/>
      <c r="D17" s="43"/>
      <c r="E17" s="43"/>
      <c r="F17" s="43"/>
      <c r="G17" s="43"/>
      <c r="H17" s="43"/>
      <c r="I17" s="44"/>
    </row>
    <row r="18" spans="1:9" x14ac:dyDescent="0.3">
      <c r="A18" s="4"/>
    </row>
    <row r="20" spans="1:9" x14ac:dyDescent="0.3">
      <c r="A20" s="14"/>
    </row>
    <row r="21" spans="1:9" x14ac:dyDescent="0.3">
      <c r="A21" s="1" t="s">
        <v>71</v>
      </c>
      <c r="B21" s="1" t="s">
        <v>72</v>
      </c>
    </row>
    <row r="22" spans="1:9" x14ac:dyDescent="0.3">
      <c r="A22" s="1" t="s">
        <v>68</v>
      </c>
      <c r="B22" t="s">
        <v>27</v>
      </c>
      <c r="C22" t="s">
        <v>63</v>
      </c>
      <c r="D22" t="s">
        <v>53</v>
      </c>
      <c r="E22" t="s">
        <v>69</v>
      </c>
    </row>
    <row r="23" spans="1:9" x14ac:dyDescent="0.3">
      <c r="A23" s="2" t="s">
        <v>49</v>
      </c>
      <c r="B23">
        <v>6</v>
      </c>
      <c r="C23">
        <v>2</v>
      </c>
      <c r="D23">
        <v>2</v>
      </c>
      <c r="E23">
        <v>10</v>
      </c>
    </row>
    <row r="24" spans="1:9" x14ac:dyDescent="0.3">
      <c r="A24" s="2" t="s">
        <v>65</v>
      </c>
      <c r="B24">
        <v>6</v>
      </c>
      <c r="C24">
        <v>3</v>
      </c>
      <c r="E24">
        <v>9</v>
      </c>
    </row>
    <row r="25" spans="1:9" x14ac:dyDescent="0.3">
      <c r="A25" s="2" t="s">
        <v>32</v>
      </c>
      <c r="B25">
        <v>13</v>
      </c>
      <c r="C25">
        <v>4</v>
      </c>
      <c r="D25">
        <v>1</v>
      </c>
      <c r="E25">
        <v>18</v>
      </c>
    </row>
    <row r="26" spans="1:9" x14ac:dyDescent="0.3">
      <c r="A26" s="2" t="s">
        <v>67</v>
      </c>
      <c r="B26">
        <v>1</v>
      </c>
      <c r="C26">
        <v>2</v>
      </c>
      <c r="E26">
        <v>3</v>
      </c>
    </row>
    <row r="27" spans="1:9" x14ac:dyDescent="0.3">
      <c r="A27" s="2" t="s">
        <v>69</v>
      </c>
      <c r="B27">
        <v>26</v>
      </c>
      <c r="C27">
        <v>11</v>
      </c>
      <c r="D27">
        <v>3</v>
      </c>
      <c r="E27">
        <v>40</v>
      </c>
    </row>
    <row r="31" spans="1:9" ht="25.8" x14ac:dyDescent="0.3">
      <c r="A31" s="41" t="s">
        <v>118</v>
      </c>
      <c r="B31" s="41"/>
    </row>
    <row r="32" spans="1:9" x14ac:dyDescent="0.3">
      <c r="A32" s="31"/>
      <c r="B32" s="32"/>
      <c r="C32" s="32"/>
      <c r="D32" s="32"/>
      <c r="E32" s="32"/>
      <c r="F32" s="32"/>
      <c r="G32" s="33"/>
    </row>
    <row r="33" spans="1:7" x14ac:dyDescent="0.3">
      <c r="A33" s="48" t="s">
        <v>88</v>
      </c>
      <c r="B33" s="49"/>
      <c r="C33" s="49"/>
      <c r="D33" s="49"/>
      <c r="E33" s="49"/>
      <c r="F33" s="49"/>
      <c r="G33" s="50"/>
    </row>
    <row r="34" spans="1:7" x14ac:dyDescent="0.3">
      <c r="A34" s="45" t="s">
        <v>89</v>
      </c>
      <c r="B34" s="46"/>
      <c r="C34" s="46"/>
      <c r="D34" s="46"/>
      <c r="E34" s="46"/>
      <c r="F34" s="46"/>
      <c r="G34" s="47"/>
    </row>
    <row r="35" spans="1:7" x14ac:dyDescent="0.3">
      <c r="A35" s="48" t="s">
        <v>90</v>
      </c>
      <c r="B35" s="49"/>
      <c r="C35" s="49"/>
      <c r="D35" s="49"/>
      <c r="E35" s="49"/>
      <c r="F35" s="49"/>
      <c r="G35" s="50"/>
    </row>
    <row r="36" spans="1:7" x14ac:dyDescent="0.3">
      <c r="A36" s="48" t="s">
        <v>92</v>
      </c>
      <c r="B36" s="49"/>
      <c r="C36" s="49"/>
      <c r="D36" s="49"/>
      <c r="E36" s="49"/>
      <c r="F36" s="49"/>
      <c r="G36" s="50"/>
    </row>
    <row r="37" spans="1:7" x14ac:dyDescent="0.3">
      <c r="A37" s="37" t="s">
        <v>91</v>
      </c>
      <c r="B37" s="38"/>
      <c r="C37" s="38"/>
      <c r="D37" s="38"/>
      <c r="E37" s="38"/>
      <c r="F37" s="38"/>
      <c r="G37" s="39"/>
    </row>
    <row r="50" spans="1:7" x14ac:dyDescent="0.3">
      <c r="A50" s="15"/>
      <c r="B50" s="15"/>
      <c r="C50" s="15"/>
      <c r="D50" s="15"/>
      <c r="E50" s="15"/>
      <c r="F50" s="15"/>
      <c r="G50" s="15"/>
    </row>
    <row r="51" spans="1:7" x14ac:dyDescent="0.3">
      <c r="A51" s="14"/>
      <c r="B51" s="14"/>
      <c r="C51" s="14"/>
      <c r="D51" s="14"/>
      <c r="E51" s="14"/>
      <c r="F51" s="14"/>
      <c r="G51" s="14"/>
    </row>
    <row r="52" spans="1:7" x14ac:dyDescent="0.3">
      <c r="A52" s="4"/>
    </row>
    <row r="53" spans="1:7" x14ac:dyDescent="0.3">
      <c r="A53" s="4"/>
    </row>
    <row r="55" spans="1:7" ht="18" x14ac:dyDescent="0.3">
      <c r="A55" s="3"/>
    </row>
    <row r="56" spans="1:7" x14ac:dyDescent="0.3">
      <c r="A56" s="4"/>
    </row>
    <row r="57" spans="1:7" x14ac:dyDescent="0.3">
      <c r="A57" s="4"/>
    </row>
  </sheetData>
  <mergeCells count="12">
    <mergeCell ref="A12:B12"/>
    <mergeCell ref="A31:B31"/>
    <mergeCell ref="A37:G37"/>
    <mergeCell ref="A17:I17"/>
    <mergeCell ref="A34:G34"/>
    <mergeCell ref="A36:G36"/>
    <mergeCell ref="A15:I15"/>
    <mergeCell ref="A14:I14"/>
    <mergeCell ref="A13:I13"/>
    <mergeCell ref="A33:G33"/>
    <mergeCell ref="A32:G32"/>
    <mergeCell ref="A35:G3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2913-8862-4379-97C4-101461C3EFD0}">
  <dimension ref="A3:Q40"/>
  <sheetViews>
    <sheetView workbookViewId="0">
      <selection activeCell="B33" sqref="B33"/>
    </sheetView>
  </sheetViews>
  <sheetFormatPr defaultRowHeight="14.4" x14ac:dyDescent="0.3"/>
  <cols>
    <col min="1" max="1" width="23.77734375" bestFit="1" customWidth="1"/>
    <col min="2" max="2" width="20.6640625" bestFit="1" customWidth="1"/>
    <col min="14" max="14" width="21.5546875" customWidth="1"/>
  </cols>
  <sheetData>
    <row r="3" spans="1:14" x14ac:dyDescent="0.3">
      <c r="A3" s="1" t="s">
        <v>68</v>
      </c>
      <c r="B3" t="s">
        <v>80</v>
      </c>
    </row>
    <row r="4" spans="1:14" x14ac:dyDescent="0.3">
      <c r="A4" s="2" t="s">
        <v>66</v>
      </c>
      <c r="B4">
        <v>3</v>
      </c>
    </row>
    <row r="5" spans="1:14" x14ac:dyDescent="0.3">
      <c r="A5" s="2" t="s">
        <v>42</v>
      </c>
      <c r="B5">
        <v>13</v>
      </c>
    </row>
    <row r="6" spans="1:14" x14ac:dyDescent="0.3">
      <c r="A6" s="2" t="s">
        <v>33</v>
      </c>
      <c r="B6">
        <v>24</v>
      </c>
    </row>
    <row r="7" spans="1:14" x14ac:dyDescent="0.3">
      <c r="A7" s="2" t="s">
        <v>69</v>
      </c>
      <c r="B7">
        <v>40</v>
      </c>
    </row>
    <row r="14" spans="1:14" ht="25.8" x14ac:dyDescent="0.3">
      <c r="A14" s="23" t="s">
        <v>118</v>
      </c>
    </row>
    <row r="15" spans="1:14" x14ac:dyDescent="0.3">
      <c r="A15" s="4"/>
    </row>
    <row r="16" spans="1:14" x14ac:dyDescent="0.3">
      <c r="A16" s="5" t="s">
        <v>76</v>
      </c>
      <c r="B16" s="8"/>
      <c r="C16" s="8"/>
      <c r="D16" s="8"/>
      <c r="E16" s="8"/>
      <c r="F16" s="8"/>
      <c r="G16" s="8"/>
      <c r="H16" s="8"/>
      <c r="I16" s="8"/>
      <c r="J16" s="8"/>
      <c r="K16" s="8"/>
      <c r="L16" s="8"/>
      <c r="M16" s="8"/>
      <c r="N16" s="9"/>
    </row>
    <row r="17" spans="1:14" x14ac:dyDescent="0.3">
      <c r="A17" s="6" t="s">
        <v>77</v>
      </c>
      <c r="N17" s="10"/>
    </row>
    <row r="18" spans="1:14" x14ac:dyDescent="0.3">
      <c r="A18" s="7" t="s">
        <v>78</v>
      </c>
      <c r="B18" s="12"/>
      <c r="C18" s="12"/>
      <c r="D18" s="12"/>
      <c r="E18" s="12"/>
      <c r="F18" s="12"/>
      <c r="G18" s="12"/>
      <c r="H18" s="12"/>
      <c r="I18" s="12"/>
      <c r="J18" s="12"/>
      <c r="K18" s="12"/>
      <c r="L18" s="12"/>
      <c r="M18" s="12"/>
      <c r="N18" s="13"/>
    </row>
    <row r="26" spans="1:14" x14ac:dyDescent="0.3">
      <c r="A26" s="1" t="s">
        <v>68</v>
      </c>
      <c r="B26" t="s">
        <v>79</v>
      </c>
    </row>
    <row r="27" spans="1:14" x14ac:dyDescent="0.3">
      <c r="A27" s="2" t="s">
        <v>45</v>
      </c>
      <c r="B27">
        <v>16</v>
      </c>
    </row>
    <row r="28" spans="1:14" x14ac:dyDescent="0.3">
      <c r="A28" s="2" t="s">
        <v>58</v>
      </c>
      <c r="B28">
        <v>4</v>
      </c>
    </row>
    <row r="29" spans="1:14" x14ac:dyDescent="0.3">
      <c r="A29" s="2" t="s">
        <v>37</v>
      </c>
      <c r="B29">
        <v>14</v>
      </c>
    </row>
    <row r="30" spans="1:14" x14ac:dyDescent="0.3">
      <c r="A30" s="2" t="s">
        <v>52</v>
      </c>
      <c r="B30">
        <v>6</v>
      </c>
    </row>
    <row r="31" spans="1:14" x14ac:dyDescent="0.3">
      <c r="A31" s="2" t="s">
        <v>69</v>
      </c>
      <c r="B31">
        <v>40</v>
      </c>
    </row>
    <row r="36" spans="1:17" ht="25.8" x14ac:dyDescent="0.3">
      <c r="A36" s="24" t="s">
        <v>118</v>
      </c>
    </row>
    <row r="37" spans="1:17" x14ac:dyDescent="0.3">
      <c r="A37" s="4"/>
    </row>
    <row r="38" spans="1:17" x14ac:dyDescent="0.3">
      <c r="A38" s="5" t="s">
        <v>73</v>
      </c>
      <c r="B38" s="8"/>
      <c r="C38" s="8"/>
      <c r="D38" s="8"/>
      <c r="E38" s="8"/>
      <c r="F38" s="8"/>
      <c r="G38" s="8"/>
      <c r="H38" s="8"/>
      <c r="I38" s="8"/>
      <c r="J38" s="8"/>
      <c r="K38" s="8"/>
      <c r="L38" s="8"/>
      <c r="M38" s="8"/>
      <c r="N38" s="8"/>
      <c r="O38" s="8"/>
      <c r="P38" s="8"/>
      <c r="Q38" s="9"/>
    </row>
    <row r="39" spans="1:17" x14ac:dyDescent="0.3">
      <c r="A39" s="6" t="s">
        <v>74</v>
      </c>
      <c r="Q39" s="10"/>
    </row>
    <row r="40" spans="1:17" x14ac:dyDescent="0.3">
      <c r="A40" s="7" t="s">
        <v>75</v>
      </c>
      <c r="B40" s="12"/>
      <c r="C40" s="12"/>
      <c r="D40" s="12"/>
      <c r="E40" s="12"/>
      <c r="F40" s="12"/>
      <c r="G40" s="12"/>
      <c r="H40" s="12"/>
      <c r="I40" s="12"/>
      <c r="J40" s="12"/>
      <c r="K40" s="12"/>
      <c r="L40" s="12"/>
      <c r="M40" s="12"/>
      <c r="N40" s="12"/>
      <c r="O40" s="12"/>
      <c r="P40" s="12"/>
      <c r="Q40" s="13"/>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E0092-AFF8-400B-8EC4-7CAB551F9C21}">
  <dimension ref="A3:P43"/>
  <sheetViews>
    <sheetView zoomScale="90" workbookViewId="0">
      <selection activeCell="H38" sqref="H38"/>
    </sheetView>
  </sheetViews>
  <sheetFormatPr defaultRowHeight="14.4" x14ac:dyDescent="0.3"/>
  <cols>
    <col min="1" max="1" width="13.44140625" bestFit="1" customWidth="1"/>
    <col min="2" max="2" width="14.88671875" bestFit="1" customWidth="1"/>
    <col min="3" max="3" width="8.5546875" bestFit="1" customWidth="1"/>
    <col min="4" max="4" width="14.6640625" bestFit="1" customWidth="1"/>
    <col min="5" max="5" width="16.6640625" bestFit="1" customWidth="1"/>
    <col min="6" max="6" width="11" bestFit="1" customWidth="1"/>
    <col min="10" max="10" width="15.5546875" customWidth="1"/>
  </cols>
  <sheetData>
    <row r="3" spans="1:9" x14ac:dyDescent="0.3">
      <c r="A3" s="1" t="s">
        <v>68</v>
      </c>
      <c r="B3" t="s">
        <v>80</v>
      </c>
    </row>
    <row r="4" spans="1:9" x14ac:dyDescent="0.3">
      <c r="A4" s="2" t="s">
        <v>54</v>
      </c>
      <c r="B4">
        <v>2</v>
      </c>
    </row>
    <row r="5" spans="1:9" x14ac:dyDescent="0.3">
      <c r="A5" s="2" t="s">
        <v>29</v>
      </c>
      <c r="B5">
        <v>18</v>
      </c>
    </row>
    <row r="6" spans="1:9" x14ac:dyDescent="0.3">
      <c r="A6" s="2" t="s">
        <v>47</v>
      </c>
      <c r="B6">
        <v>19</v>
      </c>
    </row>
    <row r="7" spans="1:9" x14ac:dyDescent="0.3">
      <c r="A7" s="2" t="s">
        <v>40</v>
      </c>
      <c r="B7">
        <v>1</v>
      </c>
    </row>
    <row r="8" spans="1:9" x14ac:dyDescent="0.3">
      <c r="A8" s="2" t="s">
        <v>69</v>
      </c>
      <c r="B8">
        <v>40</v>
      </c>
    </row>
    <row r="11" spans="1:9" ht="35.4" customHeight="1" x14ac:dyDescent="0.3">
      <c r="A11" s="41" t="s">
        <v>119</v>
      </c>
      <c r="B11" s="41"/>
    </row>
    <row r="12" spans="1:9" x14ac:dyDescent="0.3">
      <c r="A12" s="31"/>
      <c r="B12" s="32"/>
      <c r="C12" s="32"/>
      <c r="D12" s="32"/>
      <c r="E12" s="32"/>
      <c r="F12" s="33"/>
    </row>
    <row r="13" spans="1:9" x14ac:dyDescent="0.3">
      <c r="A13" s="34" t="s">
        <v>97</v>
      </c>
      <c r="B13" s="35"/>
      <c r="C13" s="35"/>
      <c r="D13" s="35"/>
      <c r="E13" s="35"/>
      <c r="F13" s="36"/>
    </row>
    <row r="14" spans="1:9" x14ac:dyDescent="0.3">
      <c r="A14" s="34" t="s">
        <v>95</v>
      </c>
      <c r="B14" s="52"/>
      <c r="C14" s="52"/>
      <c r="D14" s="52"/>
      <c r="E14" s="52"/>
      <c r="F14" s="53"/>
    </row>
    <row r="15" spans="1:9" x14ac:dyDescent="0.3">
      <c r="A15" s="34" t="s">
        <v>96</v>
      </c>
      <c r="B15" s="35"/>
      <c r="C15" s="35"/>
      <c r="D15" s="35"/>
      <c r="E15" s="35"/>
      <c r="F15" s="36"/>
      <c r="G15" s="4"/>
      <c r="H15" s="4"/>
      <c r="I15" s="4"/>
    </row>
    <row r="16" spans="1:9" x14ac:dyDescent="0.3">
      <c r="A16" s="54" t="s">
        <v>94</v>
      </c>
      <c r="B16" s="55"/>
      <c r="C16" s="55"/>
      <c r="D16" s="55"/>
      <c r="E16" s="55"/>
      <c r="F16" s="56"/>
    </row>
    <row r="18" spans="1:16" x14ac:dyDescent="0.3">
      <c r="A18" s="51" t="s">
        <v>98</v>
      </c>
      <c r="B18" s="51"/>
      <c r="C18" s="51"/>
      <c r="D18" s="51"/>
      <c r="E18" s="51"/>
      <c r="F18" s="51"/>
      <c r="G18" s="51"/>
      <c r="H18" s="51"/>
      <c r="I18" s="51"/>
      <c r="J18" s="51"/>
      <c r="K18" s="51"/>
      <c r="L18" s="51"/>
      <c r="M18" s="51"/>
      <c r="N18" s="51"/>
      <c r="O18" s="51"/>
      <c r="P18" s="51"/>
    </row>
    <row r="23" spans="1:16" x14ac:dyDescent="0.3">
      <c r="A23" s="1" t="s">
        <v>68</v>
      </c>
      <c r="B23" t="s">
        <v>93</v>
      </c>
    </row>
    <row r="24" spans="1:16" x14ac:dyDescent="0.3">
      <c r="A24" s="2" t="s">
        <v>55</v>
      </c>
      <c r="B24">
        <v>3</v>
      </c>
    </row>
    <row r="25" spans="1:16" x14ac:dyDescent="0.3">
      <c r="A25" s="2" t="s">
        <v>31</v>
      </c>
      <c r="B25">
        <v>32</v>
      </c>
    </row>
    <row r="26" spans="1:16" x14ac:dyDescent="0.3">
      <c r="A26" s="2" t="s">
        <v>61</v>
      </c>
      <c r="B26">
        <v>5</v>
      </c>
    </row>
    <row r="27" spans="1:16" x14ac:dyDescent="0.3">
      <c r="A27" s="2" t="s">
        <v>69</v>
      </c>
      <c r="B27">
        <v>40</v>
      </c>
    </row>
    <row r="38" spans="1:10" ht="31.2" customHeight="1" x14ac:dyDescent="0.3">
      <c r="A38" s="41" t="s">
        <v>118</v>
      </c>
      <c r="B38" s="41"/>
    </row>
    <row r="39" spans="1:10" x14ac:dyDescent="0.3">
      <c r="A39" s="31"/>
      <c r="B39" s="32"/>
      <c r="C39" s="32"/>
      <c r="D39" s="32"/>
      <c r="E39" s="32"/>
      <c r="F39" s="32"/>
      <c r="G39" s="32"/>
      <c r="H39" s="32"/>
      <c r="I39" s="32"/>
      <c r="J39" s="33"/>
    </row>
    <row r="40" spans="1:10" x14ac:dyDescent="0.3">
      <c r="A40" s="34" t="s">
        <v>99</v>
      </c>
      <c r="B40" s="35"/>
      <c r="C40" s="35"/>
      <c r="D40" s="35"/>
      <c r="E40" s="35"/>
      <c r="F40" s="35"/>
      <c r="G40" s="35"/>
      <c r="H40" s="35"/>
      <c r="I40" s="35"/>
      <c r="J40" s="36"/>
    </row>
    <row r="41" spans="1:10" x14ac:dyDescent="0.3">
      <c r="A41" s="34" t="s">
        <v>100</v>
      </c>
      <c r="B41" s="35"/>
      <c r="C41" s="35"/>
      <c r="D41" s="35"/>
      <c r="E41" s="35"/>
      <c r="F41" s="35"/>
      <c r="G41" s="35"/>
      <c r="H41" s="35"/>
      <c r="I41" s="35"/>
      <c r="J41" s="36"/>
    </row>
    <row r="42" spans="1:10" x14ac:dyDescent="0.3">
      <c r="A42" s="34" t="s">
        <v>101</v>
      </c>
      <c r="B42" s="35"/>
      <c r="C42" s="35"/>
      <c r="D42" s="35"/>
      <c r="E42" s="35"/>
      <c r="F42" s="35"/>
      <c r="G42" s="35"/>
      <c r="H42" s="35"/>
      <c r="I42" s="35"/>
      <c r="J42" s="36"/>
    </row>
    <row r="43" spans="1:10" x14ac:dyDescent="0.3">
      <c r="A43" s="54"/>
      <c r="B43" s="55"/>
      <c r="C43" s="55"/>
      <c r="D43" s="55"/>
      <c r="E43" s="55"/>
      <c r="F43" s="55"/>
      <c r="G43" s="55"/>
      <c r="H43" s="55"/>
      <c r="I43" s="55"/>
      <c r="J43" s="56"/>
    </row>
  </sheetData>
  <mergeCells count="13">
    <mergeCell ref="A40:J40"/>
    <mergeCell ref="A41:J41"/>
    <mergeCell ref="A42:J42"/>
    <mergeCell ref="A39:J39"/>
    <mergeCell ref="A43:J43"/>
    <mergeCell ref="A11:B11"/>
    <mergeCell ref="A38:B38"/>
    <mergeCell ref="A12:F12"/>
    <mergeCell ref="A18:P18"/>
    <mergeCell ref="A13:F13"/>
    <mergeCell ref="A14:F14"/>
    <mergeCell ref="A15:F15"/>
    <mergeCell ref="A16:F16"/>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CB3F-67C2-4253-B2B5-979AEF8783AB}">
  <dimension ref="A1:W41"/>
  <sheetViews>
    <sheetView workbookViewId="0">
      <selection activeCell="G13" sqref="G13"/>
    </sheetView>
  </sheetViews>
  <sheetFormatPr defaultRowHeight="14.4" x14ac:dyDescent="0.3"/>
  <cols>
    <col min="1" max="1" width="6.21875" bestFit="1" customWidth="1"/>
    <col min="2" max="2" width="17.109375" customWidth="1"/>
    <col min="3" max="3" width="15.88671875" bestFit="1" customWidth="1"/>
    <col min="4" max="4" width="16" customWidth="1"/>
    <col min="5" max="5" width="17.21875" customWidth="1"/>
    <col min="6" max="6" width="15" customWidth="1"/>
    <col min="7" max="7" width="19.6640625" customWidth="1"/>
    <col min="8" max="8" width="18.44140625" customWidth="1"/>
    <col min="9" max="9" width="11.109375" customWidth="1"/>
    <col min="10" max="16" width="3" bestFit="1" customWidth="1"/>
    <col min="17" max="17" width="19.44140625" customWidth="1"/>
    <col min="18" max="18" width="16.33203125" customWidth="1"/>
    <col min="19" max="19" width="11.21875" customWidth="1"/>
  </cols>
  <sheetData>
    <row r="1" spans="1:18" x14ac:dyDescent="0.3">
      <c r="A1" t="s">
        <v>1</v>
      </c>
      <c r="B1" t="s">
        <v>14</v>
      </c>
      <c r="C1" t="s">
        <v>16</v>
      </c>
      <c r="D1" t="s">
        <v>103</v>
      </c>
      <c r="E1" t="s">
        <v>104</v>
      </c>
      <c r="G1" s="57" t="s">
        <v>106</v>
      </c>
      <c r="H1" s="57"/>
      <c r="Q1" s="17" t="s">
        <v>14</v>
      </c>
      <c r="R1" s="17" t="s">
        <v>105</v>
      </c>
    </row>
    <row r="2" spans="1:18" ht="16.2" customHeight="1" x14ac:dyDescent="0.3">
      <c r="A2">
        <v>34</v>
      </c>
      <c r="B2" t="s">
        <v>29</v>
      </c>
      <c r="C2" t="s">
        <v>31</v>
      </c>
      <c r="D2">
        <f>_xlfn.XLOOKUP(Table3[[#This Row],[Duration]], Table4[Duration],Table4[Code])</f>
        <v>2</v>
      </c>
      <c r="E2">
        <f>_xlfn.XLOOKUP(Table3[[#This Row],[Expect]], Table5[Expect], Table5[Code])</f>
        <v>2</v>
      </c>
      <c r="G2" s="22" t="s">
        <v>107</v>
      </c>
      <c r="H2" s="22">
        <f>CORREL(A2:A41, Table3[Duration_Code])</f>
        <v>7.6515469644210965E-2</v>
      </c>
      <c r="Q2" s="19" t="s">
        <v>54</v>
      </c>
      <c r="R2" s="18">
        <v>1</v>
      </c>
    </row>
    <row r="3" spans="1:18" x14ac:dyDescent="0.3">
      <c r="A3">
        <v>23</v>
      </c>
      <c r="B3" t="s">
        <v>40</v>
      </c>
      <c r="C3" t="s">
        <v>31</v>
      </c>
      <c r="D3">
        <f>_xlfn.XLOOKUP(Table3[[#This Row],[Duration]], Table4[Duration],Table4[Code])</f>
        <v>4</v>
      </c>
      <c r="E3">
        <f>_xlfn.XLOOKUP(Table3[[#This Row],[Expect]], Table5[Expect], Table5[Code])</f>
        <v>2</v>
      </c>
      <c r="G3" s="22" t="s">
        <v>108</v>
      </c>
      <c r="H3" s="22">
        <f>CORREL(A2:A41,Table3[Expect_Code])</f>
        <v>-8.9605620240757702E-2</v>
      </c>
      <c r="Q3" s="19" t="s">
        <v>29</v>
      </c>
      <c r="R3" s="18">
        <v>2</v>
      </c>
    </row>
    <row r="4" spans="1:18" x14ac:dyDescent="0.3">
      <c r="A4">
        <v>30</v>
      </c>
      <c r="B4" t="s">
        <v>47</v>
      </c>
      <c r="C4" t="s">
        <v>31</v>
      </c>
      <c r="D4">
        <f>_xlfn.XLOOKUP(Table3[[#This Row],[Duration]], Table4[Duration],Table4[Code])</f>
        <v>3</v>
      </c>
      <c r="E4">
        <f>_xlfn.XLOOKUP(Table3[[#This Row],[Expect]], Table5[Expect], Table5[Code])</f>
        <v>2</v>
      </c>
      <c r="G4" s="22" t="s">
        <v>109</v>
      </c>
      <c r="H4" s="22">
        <f>CORREL(Table3[Duration_Code],Table3[Expect_Code])</f>
        <v>0.27149751588388149</v>
      </c>
      <c r="Q4" s="19" t="s">
        <v>47</v>
      </c>
      <c r="R4" s="18">
        <v>3</v>
      </c>
    </row>
    <row r="5" spans="1:18" ht="15" customHeight="1" x14ac:dyDescent="0.3">
      <c r="A5">
        <v>22</v>
      </c>
      <c r="B5" t="s">
        <v>54</v>
      </c>
      <c r="C5" t="s">
        <v>55</v>
      </c>
      <c r="D5">
        <f>_xlfn.XLOOKUP(Table3[[#This Row],[Duration]], Table4[Duration],Table4[Code])</f>
        <v>1</v>
      </c>
      <c r="E5">
        <f>_xlfn.XLOOKUP(Table3[[#This Row],[Expect]], Table5[Expect], Table5[Code])</f>
        <v>1</v>
      </c>
      <c r="Q5" s="19" t="s">
        <v>40</v>
      </c>
      <c r="R5" s="18">
        <v>4</v>
      </c>
    </row>
    <row r="6" spans="1:18" x14ac:dyDescent="0.3">
      <c r="A6">
        <v>24</v>
      </c>
      <c r="B6" t="s">
        <v>54</v>
      </c>
      <c r="C6" t="s">
        <v>31</v>
      </c>
      <c r="D6">
        <f>_xlfn.XLOOKUP(Table3[[#This Row],[Duration]], Table4[Duration],Table4[Code])</f>
        <v>1</v>
      </c>
      <c r="E6">
        <f>_xlfn.XLOOKUP(Table3[[#This Row],[Expect]], Table5[Expect], Table5[Code])</f>
        <v>2</v>
      </c>
    </row>
    <row r="7" spans="1:18" x14ac:dyDescent="0.3">
      <c r="A7">
        <v>24</v>
      </c>
      <c r="B7" t="s">
        <v>29</v>
      </c>
      <c r="C7" t="s">
        <v>61</v>
      </c>
      <c r="D7">
        <f>_xlfn.XLOOKUP(Table3[[#This Row],[Duration]], Table4[Duration],Table4[Code])</f>
        <v>2</v>
      </c>
      <c r="E7">
        <f>_xlfn.XLOOKUP(Table3[[#This Row],[Expect]], Table5[Expect], Table5[Code])</f>
        <v>3</v>
      </c>
    </row>
    <row r="8" spans="1:18" x14ac:dyDescent="0.3">
      <c r="A8">
        <v>27</v>
      </c>
      <c r="B8" t="s">
        <v>47</v>
      </c>
      <c r="C8" t="s">
        <v>31</v>
      </c>
      <c r="D8">
        <f>_xlfn.XLOOKUP(Table3[[#This Row],[Duration]], Table4[Duration],Table4[Code])</f>
        <v>3</v>
      </c>
      <c r="E8">
        <f>_xlfn.XLOOKUP(Table3[[#This Row],[Expect]], Table5[Expect], Table5[Code])</f>
        <v>2</v>
      </c>
    </row>
    <row r="9" spans="1:18" x14ac:dyDescent="0.3">
      <c r="A9">
        <v>21</v>
      </c>
      <c r="B9" t="s">
        <v>47</v>
      </c>
      <c r="C9" t="s">
        <v>31</v>
      </c>
      <c r="D9">
        <f>_xlfn.XLOOKUP(Table3[[#This Row],[Duration]], Table4[Duration],Table4[Code])</f>
        <v>3</v>
      </c>
      <c r="E9">
        <f>_xlfn.XLOOKUP(Table3[[#This Row],[Expect]], Table5[Expect], Table5[Code])</f>
        <v>2</v>
      </c>
      <c r="Q9" s="20" t="s">
        <v>16</v>
      </c>
      <c r="R9" s="21" t="s">
        <v>105</v>
      </c>
    </row>
    <row r="10" spans="1:18" x14ac:dyDescent="0.3">
      <c r="A10">
        <v>35</v>
      </c>
      <c r="B10" t="s">
        <v>29</v>
      </c>
      <c r="C10" t="s">
        <v>31</v>
      </c>
      <c r="D10">
        <f>_xlfn.XLOOKUP(Table3[[#This Row],[Duration]], Table4[Duration],Table4[Code])</f>
        <v>2</v>
      </c>
      <c r="E10">
        <f>_xlfn.XLOOKUP(Table3[[#This Row],[Expect]], Table5[Expect], Table5[Code])</f>
        <v>2</v>
      </c>
      <c r="Q10" s="16" t="s">
        <v>55</v>
      </c>
      <c r="R10">
        <v>1</v>
      </c>
    </row>
    <row r="11" spans="1:18" x14ac:dyDescent="0.3">
      <c r="A11">
        <v>31</v>
      </c>
      <c r="B11" t="s">
        <v>47</v>
      </c>
      <c r="C11" t="s">
        <v>61</v>
      </c>
      <c r="D11">
        <f>_xlfn.XLOOKUP(Table3[[#This Row],[Duration]], Table4[Duration],Table4[Code])</f>
        <v>3</v>
      </c>
      <c r="E11">
        <f>_xlfn.XLOOKUP(Table3[[#This Row],[Expect]], Table5[Expect], Table5[Code])</f>
        <v>3</v>
      </c>
      <c r="Q11" s="16" t="s">
        <v>31</v>
      </c>
      <c r="R11">
        <v>2</v>
      </c>
    </row>
    <row r="12" spans="1:18" x14ac:dyDescent="0.3">
      <c r="A12">
        <v>35</v>
      </c>
      <c r="B12" t="s">
        <v>47</v>
      </c>
      <c r="C12" t="s">
        <v>31</v>
      </c>
      <c r="D12">
        <f>_xlfn.XLOOKUP(Table3[[#This Row],[Duration]], Table4[Duration],Table4[Code])</f>
        <v>3</v>
      </c>
      <c r="E12">
        <f>_xlfn.XLOOKUP(Table3[[#This Row],[Expect]], Table5[Expect], Table5[Code])</f>
        <v>2</v>
      </c>
      <c r="Q12" s="16" t="s">
        <v>61</v>
      </c>
      <c r="R12">
        <v>3</v>
      </c>
    </row>
    <row r="13" spans="1:18" x14ac:dyDescent="0.3">
      <c r="A13">
        <v>29</v>
      </c>
      <c r="B13" t="s">
        <v>29</v>
      </c>
      <c r="C13" t="s">
        <v>31</v>
      </c>
      <c r="D13">
        <f>_xlfn.XLOOKUP(Table3[[#This Row],[Duration]], Table4[Duration],Table4[Code])</f>
        <v>2</v>
      </c>
      <c r="E13">
        <f>_xlfn.XLOOKUP(Table3[[#This Row],[Expect]], Table5[Expect], Table5[Code])</f>
        <v>2</v>
      </c>
    </row>
    <row r="14" spans="1:18" x14ac:dyDescent="0.3">
      <c r="A14">
        <v>21</v>
      </c>
      <c r="B14" t="s">
        <v>29</v>
      </c>
      <c r="C14" t="s">
        <v>31</v>
      </c>
      <c r="D14">
        <f>_xlfn.XLOOKUP(Table3[[#This Row],[Duration]], Table4[Duration],Table4[Code])</f>
        <v>2</v>
      </c>
      <c r="E14">
        <f>_xlfn.XLOOKUP(Table3[[#This Row],[Expect]], Table5[Expect], Table5[Code])</f>
        <v>2</v>
      </c>
    </row>
    <row r="15" spans="1:18" ht="17.399999999999999" customHeight="1" x14ac:dyDescent="0.3">
      <c r="A15">
        <v>28</v>
      </c>
      <c r="B15" t="s">
        <v>29</v>
      </c>
      <c r="C15" t="s">
        <v>31</v>
      </c>
      <c r="D15">
        <f>_xlfn.XLOOKUP(Table3[[#This Row],[Duration]], Table4[Duration],Table4[Code])</f>
        <v>2</v>
      </c>
      <c r="E15">
        <f>_xlfn.XLOOKUP(Table3[[#This Row],[Expect]], Table5[Expect], Table5[Code])</f>
        <v>2</v>
      </c>
    </row>
    <row r="16" spans="1:18" x14ac:dyDescent="0.3">
      <c r="A16">
        <v>25</v>
      </c>
      <c r="B16" t="s">
        <v>29</v>
      </c>
      <c r="C16" t="s">
        <v>31</v>
      </c>
      <c r="D16">
        <f>_xlfn.XLOOKUP(Table3[[#This Row],[Duration]], Table4[Duration],Table4[Code])</f>
        <v>2</v>
      </c>
      <c r="E16">
        <f>_xlfn.XLOOKUP(Table3[[#This Row],[Expect]], Table5[Expect], Table5[Code])</f>
        <v>2</v>
      </c>
    </row>
    <row r="17" spans="1:23" x14ac:dyDescent="0.3">
      <c r="A17">
        <v>27</v>
      </c>
      <c r="B17" t="s">
        <v>29</v>
      </c>
      <c r="C17" t="s">
        <v>31</v>
      </c>
      <c r="D17">
        <f>_xlfn.XLOOKUP(Table3[[#This Row],[Duration]], Table4[Duration],Table4[Code])</f>
        <v>2</v>
      </c>
      <c r="E17">
        <f>_xlfn.XLOOKUP(Table3[[#This Row],[Expect]], Table5[Expect], Table5[Code])</f>
        <v>2</v>
      </c>
    </row>
    <row r="18" spans="1:23" x14ac:dyDescent="0.3">
      <c r="A18">
        <v>28</v>
      </c>
      <c r="B18" t="s">
        <v>29</v>
      </c>
      <c r="C18" t="s">
        <v>31</v>
      </c>
      <c r="D18">
        <f>_xlfn.XLOOKUP(Table3[[#This Row],[Duration]], Table4[Duration],Table4[Code])</f>
        <v>2</v>
      </c>
      <c r="E18">
        <f>_xlfn.XLOOKUP(Table3[[#This Row],[Expect]], Table5[Expect], Table5[Code])</f>
        <v>2</v>
      </c>
    </row>
    <row r="19" spans="1:23" x14ac:dyDescent="0.3">
      <c r="A19">
        <v>27</v>
      </c>
      <c r="B19" t="s">
        <v>29</v>
      </c>
      <c r="C19" t="s">
        <v>31</v>
      </c>
      <c r="D19">
        <f>_xlfn.XLOOKUP(Table3[[#This Row],[Duration]], Table4[Duration],Table4[Code])</f>
        <v>2</v>
      </c>
      <c r="E19">
        <f>_xlfn.XLOOKUP(Table3[[#This Row],[Expect]], Table5[Expect], Table5[Code])</f>
        <v>2</v>
      </c>
    </row>
    <row r="20" spans="1:23" x14ac:dyDescent="0.3">
      <c r="A20">
        <v>29</v>
      </c>
      <c r="B20" t="s">
        <v>29</v>
      </c>
      <c r="C20" t="s">
        <v>31</v>
      </c>
      <c r="D20">
        <f>_xlfn.XLOOKUP(Table3[[#This Row],[Duration]], Table4[Duration],Table4[Code])</f>
        <v>2</v>
      </c>
      <c r="E20">
        <f>_xlfn.XLOOKUP(Table3[[#This Row],[Expect]], Table5[Expect], Table5[Code])</f>
        <v>2</v>
      </c>
      <c r="T20" s="4"/>
      <c r="U20" s="4"/>
      <c r="V20" s="4"/>
      <c r="W20" s="4"/>
    </row>
    <row r="21" spans="1:23" x14ac:dyDescent="0.3">
      <c r="A21">
        <v>26</v>
      </c>
      <c r="B21" t="s">
        <v>47</v>
      </c>
      <c r="C21" t="s">
        <v>31</v>
      </c>
      <c r="D21">
        <f>_xlfn.XLOOKUP(Table3[[#This Row],[Duration]], Table4[Duration],Table4[Code])</f>
        <v>3</v>
      </c>
      <c r="E21">
        <f>_xlfn.XLOOKUP(Table3[[#This Row],[Expect]], Table5[Expect], Table5[Code])</f>
        <v>2</v>
      </c>
    </row>
    <row r="22" spans="1:23" x14ac:dyDescent="0.3">
      <c r="A22">
        <v>29</v>
      </c>
      <c r="B22" t="s">
        <v>47</v>
      </c>
      <c r="C22" t="s">
        <v>31</v>
      </c>
      <c r="D22">
        <f>_xlfn.XLOOKUP(Table3[[#This Row],[Duration]], Table4[Duration],Table4[Code])</f>
        <v>3</v>
      </c>
      <c r="E22">
        <f>_xlfn.XLOOKUP(Table3[[#This Row],[Expect]], Table5[Expect], Table5[Code])</f>
        <v>2</v>
      </c>
    </row>
    <row r="23" spans="1:23" x14ac:dyDescent="0.3">
      <c r="A23">
        <v>24</v>
      </c>
      <c r="B23" t="s">
        <v>47</v>
      </c>
      <c r="C23" t="s">
        <v>31</v>
      </c>
      <c r="D23">
        <f>_xlfn.XLOOKUP(Table3[[#This Row],[Duration]], Table4[Duration],Table4[Code])</f>
        <v>3</v>
      </c>
      <c r="E23">
        <f>_xlfn.XLOOKUP(Table3[[#This Row],[Expect]], Table5[Expect], Table5[Code])</f>
        <v>2</v>
      </c>
    </row>
    <row r="24" spans="1:23" x14ac:dyDescent="0.3">
      <c r="A24">
        <v>27</v>
      </c>
      <c r="B24" t="s">
        <v>47</v>
      </c>
      <c r="C24" t="s">
        <v>31</v>
      </c>
      <c r="D24">
        <f>_xlfn.XLOOKUP(Table3[[#This Row],[Duration]], Table4[Duration],Table4[Code])</f>
        <v>3</v>
      </c>
      <c r="E24">
        <f>_xlfn.XLOOKUP(Table3[[#This Row],[Expect]], Table5[Expect], Table5[Code])</f>
        <v>2</v>
      </c>
    </row>
    <row r="25" spans="1:23" x14ac:dyDescent="0.3">
      <c r="A25">
        <v>25</v>
      </c>
      <c r="B25" t="s">
        <v>47</v>
      </c>
      <c r="C25" t="s">
        <v>31</v>
      </c>
      <c r="D25">
        <f>_xlfn.XLOOKUP(Table3[[#This Row],[Duration]], Table4[Duration],Table4[Code])</f>
        <v>3</v>
      </c>
      <c r="E25">
        <f>_xlfn.XLOOKUP(Table3[[#This Row],[Expect]], Table5[Expect], Table5[Code])</f>
        <v>2</v>
      </c>
    </row>
    <row r="26" spans="1:23" x14ac:dyDescent="0.3">
      <c r="A26">
        <v>26</v>
      </c>
      <c r="B26" t="s">
        <v>47</v>
      </c>
      <c r="C26" t="s">
        <v>61</v>
      </c>
      <c r="D26">
        <f>_xlfn.XLOOKUP(Table3[[#This Row],[Duration]], Table4[Duration],Table4[Code])</f>
        <v>3</v>
      </c>
      <c r="E26">
        <f>_xlfn.XLOOKUP(Table3[[#This Row],[Expect]], Table5[Expect], Table5[Code])</f>
        <v>3</v>
      </c>
    </row>
    <row r="27" spans="1:23" x14ac:dyDescent="0.3">
      <c r="A27">
        <v>32</v>
      </c>
      <c r="B27" t="s">
        <v>47</v>
      </c>
      <c r="C27" t="s">
        <v>31</v>
      </c>
      <c r="D27">
        <f>_xlfn.XLOOKUP(Table3[[#This Row],[Duration]], Table4[Duration],Table4[Code])</f>
        <v>3</v>
      </c>
      <c r="E27">
        <f>_xlfn.XLOOKUP(Table3[[#This Row],[Expect]], Table5[Expect], Table5[Code])</f>
        <v>2</v>
      </c>
    </row>
    <row r="28" spans="1:23" x14ac:dyDescent="0.3">
      <c r="A28">
        <v>26</v>
      </c>
      <c r="B28" t="s">
        <v>47</v>
      </c>
      <c r="C28" t="s">
        <v>31</v>
      </c>
      <c r="D28">
        <f>_xlfn.XLOOKUP(Table3[[#This Row],[Duration]], Table4[Duration],Table4[Code])</f>
        <v>3</v>
      </c>
      <c r="E28">
        <f>_xlfn.XLOOKUP(Table3[[#This Row],[Expect]], Table5[Expect], Table5[Code])</f>
        <v>2</v>
      </c>
    </row>
    <row r="29" spans="1:23" x14ac:dyDescent="0.3">
      <c r="A29">
        <v>31</v>
      </c>
      <c r="B29" t="s">
        <v>29</v>
      </c>
      <c r="C29" t="s">
        <v>31</v>
      </c>
      <c r="D29">
        <f>_xlfn.XLOOKUP(Table3[[#This Row],[Duration]], Table4[Duration],Table4[Code])</f>
        <v>2</v>
      </c>
      <c r="E29">
        <f>_xlfn.XLOOKUP(Table3[[#This Row],[Expect]], Table5[Expect], Table5[Code])</f>
        <v>2</v>
      </c>
    </row>
    <row r="30" spans="1:23" x14ac:dyDescent="0.3">
      <c r="A30">
        <v>29</v>
      </c>
      <c r="B30" t="s">
        <v>29</v>
      </c>
      <c r="C30" t="s">
        <v>31</v>
      </c>
      <c r="D30">
        <f>_xlfn.XLOOKUP(Table3[[#This Row],[Duration]], Table4[Duration],Table4[Code])</f>
        <v>2</v>
      </c>
      <c r="E30">
        <f>_xlfn.XLOOKUP(Table3[[#This Row],[Expect]], Table5[Expect], Table5[Code])</f>
        <v>2</v>
      </c>
    </row>
    <row r="31" spans="1:23" x14ac:dyDescent="0.3">
      <c r="A31">
        <v>34</v>
      </c>
      <c r="B31" t="s">
        <v>47</v>
      </c>
      <c r="C31" t="s">
        <v>55</v>
      </c>
      <c r="D31">
        <f>_xlfn.XLOOKUP(Table3[[#This Row],[Duration]], Table4[Duration],Table4[Code])</f>
        <v>3</v>
      </c>
      <c r="E31">
        <f>_xlfn.XLOOKUP(Table3[[#This Row],[Expect]], Table5[Expect], Table5[Code])</f>
        <v>1</v>
      </c>
    </row>
    <row r="32" spans="1:23" x14ac:dyDescent="0.3">
      <c r="A32">
        <v>27</v>
      </c>
      <c r="B32" t="s">
        <v>29</v>
      </c>
      <c r="C32" t="s">
        <v>55</v>
      </c>
      <c r="D32">
        <f>_xlfn.XLOOKUP(Table3[[#This Row],[Duration]], Table4[Duration],Table4[Code])</f>
        <v>2</v>
      </c>
      <c r="E32">
        <f>_xlfn.XLOOKUP(Table3[[#This Row],[Expect]], Table5[Expect], Table5[Code])</f>
        <v>1</v>
      </c>
    </row>
    <row r="33" spans="1:5" x14ac:dyDescent="0.3">
      <c r="A33">
        <v>31</v>
      </c>
      <c r="B33" t="s">
        <v>47</v>
      </c>
      <c r="C33" t="s">
        <v>31</v>
      </c>
      <c r="D33">
        <f>_xlfn.XLOOKUP(Table3[[#This Row],[Duration]], Table4[Duration],Table4[Code])</f>
        <v>3</v>
      </c>
      <c r="E33">
        <f>_xlfn.XLOOKUP(Table3[[#This Row],[Expect]], Table5[Expect], Table5[Code])</f>
        <v>2</v>
      </c>
    </row>
    <row r="34" spans="1:5" x14ac:dyDescent="0.3">
      <c r="A34">
        <v>27</v>
      </c>
      <c r="B34" t="s">
        <v>47</v>
      </c>
      <c r="C34" t="s">
        <v>61</v>
      </c>
      <c r="D34">
        <f>_xlfn.XLOOKUP(Table3[[#This Row],[Duration]], Table4[Duration],Table4[Code])</f>
        <v>3</v>
      </c>
      <c r="E34">
        <f>_xlfn.XLOOKUP(Table3[[#This Row],[Expect]], Table5[Expect], Table5[Code])</f>
        <v>3</v>
      </c>
    </row>
    <row r="35" spans="1:5" x14ac:dyDescent="0.3">
      <c r="A35">
        <v>26</v>
      </c>
      <c r="B35" t="s">
        <v>29</v>
      </c>
      <c r="C35" t="s">
        <v>31</v>
      </c>
      <c r="D35">
        <f>_xlfn.XLOOKUP(Table3[[#This Row],[Duration]], Table4[Duration],Table4[Code])</f>
        <v>2</v>
      </c>
      <c r="E35">
        <f>_xlfn.XLOOKUP(Table3[[#This Row],[Expect]], Table5[Expect], Table5[Code])</f>
        <v>2</v>
      </c>
    </row>
    <row r="36" spans="1:5" x14ac:dyDescent="0.3">
      <c r="A36">
        <v>27</v>
      </c>
      <c r="B36" t="s">
        <v>29</v>
      </c>
      <c r="C36" t="s">
        <v>31</v>
      </c>
      <c r="D36">
        <f>_xlfn.XLOOKUP(Table3[[#This Row],[Duration]], Table4[Duration],Table4[Code])</f>
        <v>2</v>
      </c>
      <c r="E36">
        <f>_xlfn.XLOOKUP(Table3[[#This Row],[Expect]], Table5[Expect], Table5[Code])</f>
        <v>2</v>
      </c>
    </row>
    <row r="37" spans="1:5" x14ac:dyDescent="0.3">
      <c r="A37">
        <v>30</v>
      </c>
      <c r="B37" t="s">
        <v>47</v>
      </c>
      <c r="C37" t="s">
        <v>31</v>
      </c>
      <c r="D37">
        <f>_xlfn.XLOOKUP(Table3[[#This Row],[Duration]], Table4[Duration],Table4[Code])</f>
        <v>3</v>
      </c>
      <c r="E37">
        <f>_xlfn.XLOOKUP(Table3[[#This Row],[Expect]], Table5[Expect], Table5[Code])</f>
        <v>2</v>
      </c>
    </row>
    <row r="38" spans="1:5" x14ac:dyDescent="0.3">
      <c r="A38">
        <v>30</v>
      </c>
      <c r="B38" t="s">
        <v>29</v>
      </c>
      <c r="C38" t="s">
        <v>31</v>
      </c>
      <c r="D38">
        <f>_xlfn.XLOOKUP(Table3[[#This Row],[Duration]], Table4[Duration],Table4[Code])</f>
        <v>2</v>
      </c>
      <c r="E38">
        <f>_xlfn.XLOOKUP(Table3[[#This Row],[Expect]], Table5[Expect], Table5[Code])</f>
        <v>2</v>
      </c>
    </row>
    <row r="39" spans="1:5" x14ac:dyDescent="0.3">
      <c r="A39">
        <v>25</v>
      </c>
      <c r="B39" t="s">
        <v>47</v>
      </c>
      <c r="C39" t="s">
        <v>61</v>
      </c>
      <c r="D39">
        <f>_xlfn.XLOOKUP(Table3[[#This Row],[Duration]], Table4[Duration],Table4[Code])</f>
        <v>3</v>
      </c>
      <c r="E39">
        <f>_xlfn.XLOOKUP(Table3[[#This Row],[Expect]], Table5[Expect], Table5[Code])</f>
        <v>3</v>
      </c>
    </row>
    <row r="40" spans="1:5" x14ac:dyDescent="0.3">
      <c r="A40">
        <v>31</v>
      </c>
      <c r="B40" t="s">
        <v>29</v>
      </c>
      <c r="C40" t="s">
        <v>31</v>
      </c>
      <c r="D40">
        <f>_xlfn.XLOOKUP(Table3[[#This Row],[Duration]], Table4[Duration],Table4[Code])</f>
        <v>2</v>
      </c>
      <c r="E40">
        <f>_xlfn.XLOOKUP(Table3[[#This Row],[Expect]], Table5[Expect], Table5[Code])</f>
        <v>2</v>
      </c>
    </row>
    <row r="41" spans="1:5" x14ac:dyDescent="0.3">
      <c r="A41">
        <v>29</v>
      </c>
      <c r="B41" t="s">
        <v>47</v>
      </c>
      <c r="C41" t="s">
        <v>31</v>
      </c>
      <c r="D41">
        <f>_xlfn.XLOOKUP(Table3[[#This Row],[Duration]], Table4[Duration],Table4[Code])</f>
        <v>3</v>
      </c>
      <c r="E41">
        <f>_xlfn.XLOOKUP(Table3[[#This Row],[Expect]], Table5[Expect], Table5[Code])</f>
        <v>2</v>
      </c>
    </row>
  </sheetData>
  <mergeCells count="1">
    <mergeCell ref="G1:H1"/>
  </mergeCells>
  <pageMargins left="0.7" right="0.7" top="0.75" bottom="0.75" header="0.3" footer="0.3"/>
  <pageSetup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5D58-0607-4D9D-9EAE-0BE748DBA0EB}">
  <dimension ref="B16:V33"/>
  <sheetViews>
    <sheetView zoomScale="91" workbookViewId="0">
      <selection activeCell="K40" sqref="K40"/>
    </sheetView>
  </sheetViews>
  <sheetFormatPr defaultRowHeight="14.4" x14ac:dyDescent="0.3"/>
  <cols>
    <col min="14" max="14" width="17.44140625" customWidth="1"/>
  </cols>
  <sheetData>
    <row r="16" spans="2:3" ht="25.8" x14ac:dyDescent="0.3">
      <c r="B16" s="24" t="s">
        <v>117</v>
      </c>
      <c r="C16" s="24"/>
    </row>
    <row r="17" spans="2:22" x14ac:dyDescent="0.3">
      <c r="B17" s="59"/>
      <c r="C17" s="60"/>
      <c r="D17" s="60"/>
      <c r="E17" s="60"/>
      <c r="F17" s="60"/>
      <c r="G17" s="60"/>
      <c r="H17" s="60"/>
      <c r="I17" s="60"/>
      <c r="J17" s="60"/>
      <c r="K17" s="60"/>
      <c r="L17" s="60"/>
      <c r="M17" s="60"/>
      <c r="N17" s="61"/>
    </row>
    <row r="18" spans="2:22" x14ac:dyDescent="0.3">
      <c r="B18" s="34" t="s">
        <v>110</v>
      </c>
      <c r="C18" s="35"/>
      <c r="D18" s="35"/>
      <c r="E18" s="35"/>
      <c r="F18" s="35"/>
      <c r="G18" s="35"/>
      <c r="H18" s="35"/>
      <c r="I18" s="35"/>
      <c r="J18" s="35"/>
      <c r="K18" s="35"/>
      <c r="L18" s="35"/>
      <c r="M18" s="35"/>
      <c r="N18" s="36"/>
    </row>
    <row r="19" spans="2:22" x14ac:dyDescent="0.3">
      <c r="B19" s="34" t="s">
        <v>111</v>
      </c>
      <c r="C19" s="35"/>
      <c r="D19" s="35"/>
      <c r="E19" s="35"/>
      <c r="F19" s="35"/>
      <c r="G19" s="35"/>
      <c r="H19" s="35"/>
      <c r="I19" s="35"/>
      <c r="J19" s="35"/>
      <c r="K19" s="35"/>
      <c r="L19" s="35"/>
      <c r="M19" s="35"/>
      <c r="N19" s="36"/>
    </row>
    <row r="20" spans="2:22" x14ac:dyDescent="0.3">
      <c r="B20" s="34" t="s">
        <v>112</v>
      </c>
      <c r="C20" s="35"/>
      <c r="D20" s="35"/>
      <c r="E20" s="35"/>
      <c r="F20" s="35"/>
      <c r="G20" s="35"/>
      <c r="H20" s="35"/>
      <c r="I20" s="35"/>
      <c r="J20" s="35"/>
      <c r="K20" s="35"/>
      <c r="L20" s="35"/>
      <c r="M20" s="35"/>
      <c r="N20" s="36"/>
    </row>
    <row r="21" spans="2:22" x14ac:dyDescent="0.3">
      <c r="B21" s="54" t="s">
        <v>113</v>
      </c>
      <c r="C21" s="55"/>
      <c r="D21" s="55"/>
      <c r="E21" s="55"/>
      <c r="F21" s="55"/>
      <c r="G21" s="55"/>
      <c r="H21" s="55"/>
      <c r="I21" s="55"/>
      <c r="J21" s="55"/>
      <c r="K21" s="55"/>
      <c r="L21" s="55"/>
      <c r="M21" s="55"/>
      <c r="N21" s="56"/>
    </row>
    <row r="26" spans="2:22" ht="15" customHeight="1" x14ac:dyDescent="0.3"/>
    <row r="27" spans="2:22" ht="15" customHeight="1" x14ac:dyDescent="0.3"/>
    <row r="28" spans="2:22" ht="25.8" customHeight="1" x14ac:dyDescent="0.5">
      <c r="I28" s="58" t="s">
        <v>118</v>
      </c>
      <c r="J28" s="58"/>
      <c r="K28" s="58"/>
    </row>
    <row r="29" spans="2:22" x14ac:dyDescent="0.3">
      <c r="I29" s="31"/>
      <c r="J29" s="32"/>
      <c r="K29" s="32"/>
      <c r="L29" s="32"/>
      <c r="M29" s="32"/>
      <c r="N29" s="32"/>
      <c r="O29" s="32"/>
      <c r="P29" s="32"/>
      <c r="Q29" s="32"/>
      <c r="R29" s="32"/>
      <c r="S29" s="32"/>
      <c r="T29" s="32"/>
      <c r="U29" s="32"/>
      <c r="V29" s="33"/>
    </row>
    <row r="30" spans="2:22" x14ac:dyDescent="0.3">
      <c r="I30" s="34" t="s">
        <v>114</v>
      </c>
      <c r="J30" s="35"/>
      <c r="K30" s="35"/>
      <c r="L30" s="35"/>
      <c r="M30" s="35"/>
      <c r="N30" s="35"/>
      <c r="O30" s="35"/>
      <c r="P30" s="35"/>
      <c r="Q30" s="35"/>
      <c r="R30" s="35"/>
      <c r="S30" s="35"/>
      <c r="T30" s="35"/>
      <c r="U30" s="35"/>
      <c r="V30" s="36"/>
    </row>
    <row r="31" spans="2:22" x14ac:dyDescent="0.3">
      <c r="I31" s="34" t="s">
        <v>115</v>
      </c>
      <c r="J31" s="35"/>
      <c r="K31" s="35"/>
      <c r="L31" s="35"/>
      <c r="M31" s="35"/>
      <c r="N31" s="35"/>
      <c r="O31" s="35"/>
      <c r="P31" s="35"/>
      <c r="Q31" s="35"/>
      <c r="R31" s="35"/>
      <c r="S31" s="35"/>
      <c r="T31" s="35"/>
      <c r="U31" s="35"/>
      <c r="V31" s="36"/>
    </row>
    <row r="32" spans="2:22" x14ac:dyDescent="0.3">
      <c r="I32" s="34" t="s">
        <v>116</v>
      </c>
      <c r="J32" s="35"/>
      <c r="K32" s="35"/>
      <c r="L32" s="35"/>
      <c r="M32" s="35"/>
      <c r="N32" s="35"/>
      <c r="O32" s="35"/>
      <c r="P32" s="35"/>
      <c r="Q32" s="35"/>
      <c r="R32" s="35"/>
      <c r="S32" s="35"/>
      <c r="T32" s="35"/>
      <c r="U32" s="35"/>
      <c r="V32" s="36"/>
    </row>
    <row r="33" spans="9:22" x14ac:dyDescent="0.3">
      <c r="I33" s="54"/>
      <c r="J33" s="55"/>
      <c r="K33" s="55"/>
      <c r="L33" s="55"/>
      <c r="M33" s="55"/>
      <c r="N33" s="55"/>
      <c r="O33" s="55"/>
      <c r="P33" s="55"/>
      <c r="Q33" s="55"/>
      <c r="R33" s="55"/>
      <c r="S33" s="55"/>
      <c r="T33" s="55"/>
      <c r="U33" s="55"/>
      <c r="V33" s="56"/>
    </row>
  </sheetData>
  <mergeCells count="11">
    <mergeCell ref="B17:N17"/>
    <mergeCell ref="B18:N18"/>
    <mergeCell ref="B19:N19"/>
    <mergeCell ref="B21:N21"/>
    <mergeCell ref="B20:N20"/>
    <mergeCell ref="I33:V33"/>
    <mergeCell ref="I28:K28"/>
    <mergeCell ref="I29:V29"/>
    <mergeCell ref="I30:V30"/>
    <mergeCell ref="I31:V31"/>
    <mergeCell ref="I32:V3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1210-D561-4EA5-9C27-7E76E23750A6}">
  <dimension ref="A1:BE741"/>
  <sheetViews>
    <sheetView tabSelected="1" zoomScale="108" zoomScaleNormal="64" workbookViewId="0">
      <selection activeCell="M32" sqref="M32:O32"/>
    </sheetView>
  </sheetViews>
  <sheetFormatPr defaultRowHeight="14.4" x14ac:dyDescent="0.3"/>
  <cols>
    <col min="2" max="2" width="15.33203125" bestFit="1" customWidth="1"/>
    <col min="4" max="4" width="18.21875" bestFit="1" customWidth="1"/>
    <col min="5" max="5" width="12.21875" bestFit="1" customWidth="1"/>
    <col min="6" max="6" width="11" bestFit="1" customWidth="1"/>
    <col min="7" max="7" width="8.5546875" customWidth="1"/>
    <col min="8" max="9" width="14.21875" bestFit="1" customWidth="1"/>
    <col min="10" max="10" width="11.21875" customWidth="1"/>
    <col min="12" max="12" width="19.21875" bestFit="1" customWidth="1"/>
    <col min="15" max="15" width="15.6640625" customWidth="1"/>
  </cols>
  <sheetData>
    <row r="1" spans="1:57"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row>
    <row r="2" spans="1:57"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row>
    <row r="3" spans="1:57"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row>
    <row r="4" spans="1:57"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row>
    <row r="5" spans="1:57"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row>
    <row r="6" spans="1:57"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row>
    <row r="7" spans="1:57" x14ac:dyDescent="0.3">
      <c r="A7" s="25"/>
      <c r="B7" s="26"/>
      <c r="C7" s="25"/>
      <c r="D7" s="25"/>
      <c r="E7" s="25"/>
      <c r="F7" s="25"/>
      <c r="G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row>
    <row r="8" spans="1:57" x14ac:dyDescent="0.3">
      <c r="A8" s="25"/>
      <c r="B8" s="25"/>
      <c r="C8" s="25"/>
      <c r="D8" s="25"/>
      <c r="E8" s="25"/>
      <c r="F8" s="25"/>
      <c r="H8" s="25"/>
      <c r="I8" s="27"/>
      <c r="J8" s="25"/>
      <c r="K8" s="25"/>
      <c r="L8" s="27"/>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row>
    <row r="9" spans="1:57"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row>
    <row r="10" spans="1:57"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row>
    <row r="11" spans="1:57"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row>
    <row r="12" spans="1:57"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row>
    <row r="13" spans="1:57"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row>
    <row r="14" spans="1:57"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row>
    <row r="15" spans="1:57"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row>
    <row r="16" spans="1:57"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row>
    <row r="17" spans="1:57"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row>
    <row r="18" spans="1:57"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row>
    <row r="19" spans="1:57"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row>
    <row r="20" spans="1:57"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row>
    <row r="21" spans="1:57"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row>
    <row r="22" spans="1:57"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row>
    <row r="23" spans="1:57"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row>
    <row r="24" spans="1:57"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row>
    <row r="25" spans="1:57"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row>
    <row r="26" spans="1:57"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row>
    <row r="27" spans="1:57"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row>
    <row r="28" spans="1:57"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row>
    <row r="29" spans="1:57"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row>
    <row r="30" spans="1:57"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row>
    <row r="31" spans="1:57"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row>
    <row r="32" spans="1:57" x14ac:dyDescent="0.3">
      <c r="A32" s="25"/>
      <c r="B32" s="25"/>
      <c r="C32" s="25"/>
      <c r="D32" s="25"/>
      <c r="E32" s="25"/>
      <c r="F32" s="25"/>
      <c r="G32" s="25"/>
      <c r="H32" s="25"/>
      <c r="I32" s="25"/>
      <c r="J32" s="25"/>
      <c r="K32" s="25"/>
      <c r="L32" s="25"/>
      <c r="M32" s="29" t="s">
        <v>120</v>
      </c>
      <c r="N32" s="30"/>
      <c r="O32" s="30"/>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row>
    <row r="33" spans="1:57"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row>
    <row r="34" spans="1:57"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row>
    <row r="35" spans="1:57"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row>
    <row r="36" spans="1:57"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row>
    <row r="37" spans="1:57"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row>
    <row r="38" spans="1:57"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row>
    <row r="39" spans="1:57"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row>
    <row r="40" spans="1:57"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row>
    <row r="41" spans="1:57"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row>
    <row r="42" spans="1:57"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row>
    <row r="43" spans="1:57"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row>
    <row r="44" spans="1:57"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row>
    <row r="45" spans="1:57"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row>
    <row r="46" spans="1:57"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row>
    <row r="47" spans="1:57"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row>
    <row r="48" spans="1:57"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row>
    <row r="49" spans="1:57"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row>
    <row r="50" spans="1:57"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row>
    <row r="51" spans="1:57"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row>
    <row r="52" spans="1:57"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row>
    <row r="53" spans="1:57"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row>
    <row r="54" spans="1:57"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row>
    <row r="55" spans="1:57"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row>
    <row r="56" spans="1:57"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row>
    <row r="57" spans="1:57"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row>
    <row r="58" spans="1:57"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row>
    <row r="59" spans="1:57"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row>
    <row r="60" spans="1:57" x14ac:dyDescent="0.3">
      <c r="A60" s="25"/>
      <c r="B60" s="25"/>
      <c r="C60" s="25"/>
      <c r="D60" s="28"/>
      <c r="E60" s="28"/>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row>
    <row r="61" spans="1:57"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row>
    <row r="62" spans="1:57"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row>
    <row r="63" spans="1:57"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row>
    <row r="64" spans="1:57"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row>
    <row r="65" spans="1:57"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row>
    <row r="66" spans="1:57"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row>
    <row r="67" spans="1:57"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row>
    <row r="68" spans="1:57"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row>
    <row r="69" spans="1:57"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row>
    <row r="70" spans="1:57"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row>
    <row r="71" spans="1:57"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row>
    <row r="72" spans="1:57"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row>
    <row r="73" spans="1:57"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row>
    <row r="74" spans="1:57"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row>
    <row r="75" spans="1:57"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row>
    <row r="76" spans="1:57"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row>
    <row r="77" spans="1:57"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row>
    <row r="78" spans="1:57"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row>
    <row r="79" spans="1:57"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row>
    <row r="80" spans="1:57"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row>
    <row r="81" spans="1:57"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row>
    <row r="82" spans="1:57"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row>
    <row r="83" spans="1:57"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row>
    <row r="84" spans="1:57"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row>
    <row r="85" spans="1:57"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row>
    <row r="86" spans="1:57"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row>
    <row r="87" spans="1:57"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row>
    <row r="88" spans="1:57"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row>
    <row r="89" spans="1:57"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row>
    <row r="90" spans="1:57"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row>
    <row r="91" spans="1:57"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row>
    <row r="92" spans="1:57"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row>
    <row r="93" spans="1:57"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row>
    <row r="94" spans="1:57"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row>
    <row r="95" spans="1:57"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row>
    <row r="96" spans="1:57"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row>
    <row r="97" spans="1:57"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row>
    <row r="98" spans="1:57"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row>
    <row r="99" spans="1:57"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row>
    <row r="100" spans="1:57"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row>
    <row r="101" spans="1:57"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row>
    <row r="102" spans="1:57"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row>
    <row r="103" spans="1:57"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row>
    <row r="104" spans="1:57"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row>
    <row r="105" spans="1:57"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row>
    <row r="106" spans="1:57"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row>
    <row r="107" spans="1:57"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row>
    <row r="108" spans="1:57"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row>
    <row r="109" spans="1:57"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row>
    <row r="110" spans="1:57"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row>
    <row r="111" spans="1:57"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row>
    <row r="112" spans="1:57"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row>
    <row r="113" spans="1:57"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row>
    <row r="114" spans="1:57"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row>
    <row r="115" spans="1:57"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row>
    <row r="116" spans="1:57"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row>
    <row r="117" spans="1:57"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row>
    <row r="118" spans="1:57"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row>
    <row r="119" spans="1:57"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row>
    <row r="120" spans="1:57"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row>
    <row r="121" spans="1:57"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row>
    <row r="122" spans="1:57"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row>
    <row r="123" spans="1:57"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row>
    <row r="124" spans="1:57"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row>
    <row r="125" spans="1:57"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row>
    <row r="126" spans="1:57"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row>
    <row r="127" spans="1:57"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row>
    <row r="128" spans="1:57"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row>
    <row r="129" spans="1:57"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row>
    <row r="130" spans="1:57"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row>
    <row r="131" spans="1:57"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row>
    <row r="132" spans="1:57"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row>
    <row r="133" spans="1:57"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row>
    <row r="134" spans="1:57"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row>
    <row r="135" spans="1:57"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row>
    <row r="136" spans="1:57"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row>
    <row r="137" spans="1:57"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row>
    <row r="138" spans="1:57"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row>
    <row r="139" spans="1:57"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row>
    <row r="140" spans="1:57"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row>
    <row r="141" spans="1:57"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row>
    <row r="142" spans="1:57"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row>
    <row r="143" spans="1:57"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row>
    <row r="144" spans="1:57"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row>
    <row r="145" spans="1:57"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row>
    <row r="146" spans="1:57"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row>
    <row r="147" spans="1:57"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row>
    <row r="148" spans="1:57"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row>
    <row r="149" spans="1:57"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row>
    <row r="150" spans="1:57"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row>
    <row r="151" spans="1:57"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row>
    <row r="152" spans="1:57"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row>
    <row r="153" spans="1:57"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row>
    <row r="154" spans="1:57"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row>
    <row r="155" spans="1:57"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row>
    <row r="156" spans="1:57"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row>
    <row r="157" spans="1:57"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row>
    <row r="158" spans="1:57"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row>
    <row r="159" spans="1:57"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row>
    <row r="160" spans="1:57"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row>
    <row r="161" spans="1:57"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row>
    <row r="162" spans="1:57"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row>
    <row r="163" spans="1:57"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row>
    <row r="164" spans="1:57"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row>
    <row r="165" spans="1:57"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row>
    <row r="166" spans="1:57"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row>
    <row r="167" spans="1:57"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row>
    <row r="168" spans="1:57"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row>
    <row r="169" spans="1:57"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row>
    <row r="170" spans="1:57"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row>
    <row r="171" spans="1:57"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row>
    <row r="172" spans="1:57"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row>
    <row r="173" spans="1:57"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row>
    <row r="174" spans="1:57"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row>
    <row r="175" spans="1:57"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row>
    <row r="176" spans="1:57"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row>
    <row r="177" spans="1:57"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row>
    <row r="178" spans="1:57"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row>
    <row r="179" spans="1:57"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row>
    <row r="180" spans="1:57"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row>
    <row r="181" spans="1:57"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row>
    <row r="182" spans="1:57"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row>
    <row r="183" spans="1:57"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row>
    <row r="184" spans="1:57"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row>
    <row r="185" spans="1:57"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row>
    <row r="186" spans="1:57"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row>
    <row r="187" spans="1:57"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row>
    <row r="188" spans="1:57"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row>
    <row r="189" spans="1:57"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row>
    <row r="190" spans="1:57"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row>
    <row r="191" spans="1:57"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row>
    <row r="192" spans="1:57"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row>
    <row r="193" spans="1:57"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row>
    <row r="194" spans="1:57"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row>
    <row r="195" spans="1:57"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row>
    <row r="196" spans="1:57"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row>
    <row r="197" spans="1:57"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row>
    <row r="198" spans="1:57"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row>
    <row r="199" spans="1:57"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row>
    <row r="200" spans="1:57"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row>
    <row r="201" spans="1:57"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row>
    <row r="202" spans="1:57"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row>
    <row r="203" spans="1:57"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row>
    <row r="204" spans="1:57"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row>
    <row r="205" spans="1:57"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row>
    <row r="206" spans="1:57"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row>
    <row r="207" spans="1:57"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row>
    <row r="208" spans="1:57"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row>
    <row r="209" spans="1:57"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row>
    <row r="210" spans="1:57"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row>
    <row r="211" spans="1:57"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row>
    <row r="212" spans="1:57"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row>
    <row r="213" spans="1:57"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row>
    <row r="214" spans="1:57"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row>
    <row r="215" spans="1:57"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row>
    <row r="216" spans="1:57"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row>
    <row r="217" spans="1:57"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row>
    <row r="218" spans="1:57"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row>
    <row r="219" spans="1:57"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row>
    <row r="220" spans="1:57"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row>
    <row r="221" spans="1:57"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row>
    <row r="222" spans="1:57"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row>
    <row r="223" spans="1:57"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row>
    <row r="224" spans="1:57"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row>
    <row r="225" spans="1:57"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row>
    <row r="226" spans="1:57"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row>
    <row r="227" spans="1:57"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row>
    <row r="228" spans="1:57"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row>
    <row r="229" spans="1:57"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row>
    <row r="230" spans="1:57"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row>
    <row r="231" spans="1:57"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row>
    <row r="232" spans="1:57"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row>
    <row r="233" spans="1:57"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row>
    <row r="234" spans="1:57"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row>
    <row r="235" spans="1:57"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row>
    <row r="236" spans="1:57"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row>
    <row r="237" spans="1:57"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row>
    <row r="238" spans="1:57"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row>
    <row r="239" spans="1:57"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row>
    <row r="240" spans="1:57"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row>
    <row r="241" spans="1:57"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row>
    <row r="242" spans="1:57"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row>
    <row r="243" spans="1:57"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row>
    <row r="244" spans="1:57"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row>
    <row r="245" spans="1:57"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row>
    <row r="246" spans="1:57"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row>
    <row r="247" spans="1:57"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row>
    <row r="248" spans="1:57"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row>
    <row r="249" spans="1:57"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row>
    <row r="250" spans="1:57"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row>
    <row r="251" spans="1:57"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row>
    <row r="252" spans="1:57"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row>
    <row r="253" spans="1:57"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row>
    <row r="254" spans="1:57"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row>
    <row r="255" spans="1:57"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row>
    <row r="256" spans="1:57"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row>
    <row r="257" spans="1:57"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row>
    <row r="258" spans="1:57"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row>
    <row r="259" spans="1:57"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row>
    <row r="260" spans="1:57"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row>
    <row r="261" spans="1:57"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row>
    <row r="262" spans="1:57"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row>
    <row r="263" spans="1:57"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row>
    <row r="264" spans="1:57"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row>
    <row r="265" spans="1:57"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row>
    <row r="266" spans="1:57"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row>
    <row r="267" spans="1:57"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row>
    <row r="268" spans="1:57"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row>
    <row r="269" spans="1:57"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row>
    <row r="270" spans="1:57"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row>
    <row r="271" spans="1:57"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row>
    <row r="272" spans="1:57"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row>
    <row r="273" spans="1:57"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row>
    <row r="274" spans="1:57"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row>
    <row r="275" spans="1:57"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row>
    <row r="276" spans="1:57"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row>
    <row r="277" spans="1:57"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row>
    <row r="278" spans="1:57"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row>
    <row r="279" spans="1:57"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row>
    <row r="280" spans="1:57"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row>
    <row r="281" spans="1:57"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row>
    <row r="282" spans="1:57"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row>
    <row r="283" spans="1:57"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row>
    <row r="284" spans="1:57"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row>
    <row r="285" spans="1:57"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row>
    <row r="286" spans="1:57"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row>
    <row r="287" spans="1:57"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row>
    <row r="288" spans="1:57"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row>
    <row r="289" spans="1:57"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row>
    <row r="290" spans="1:57"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row>
    <row r="291" spans="1:57"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row>
    <row r="292" spans="1:57"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row>
    <row r="293" spans="1:57"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row>
    <row r="294" spans="1:57"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row>
    <row r="295" spans="1:57"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row>
    <row r="296" spans="1:57"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row>
    <row r="297" spans="1:57"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row>
    <row r="298" spans="1:57"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row>
    <row r="299" spans="1:57"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row>
    <row r="300" spans="1:57"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row>
    <row r="301" spans="1:57"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row>
    <row r="302" spans="1:57"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row>
    <row r="303" spans="1:57"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row>
    <row r="304" spans="1:57"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row>
    <row r="305" spans="1:57"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row>
    <row r="306" spans="1:57"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row>
    <row r="307" spans="1:57"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row>
    <row r="308" spans="1:57"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row>
    <row r="309" spans="1:57"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row>
    <row r="310" spans="1:57"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row>
    <row r="311" spans="1:57"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row>
    <row r="312" spans="1:57"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row>
    <row r="313" spans="1:57"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row>
    <row r="314" spans="1:57"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row>
    <row r="315" spans="1:57"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row>
    <row r="316" spans="1:57"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row>
    <row r="317" spans="1:57"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row>
    <row r="318" spans="1:57"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row>
    <row r="319" spans="1:57"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row>
    <row r="320" spans="1:57"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row>
    <row r="321" spans="1:57"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row>
    <row r="322" spans="1:57"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row>
    <row r="323" spans="1:57"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row>
    <row r="324" spans="1:57"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row>
    <row r="325" spans="1:57"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row>
    <row r="326" spans="1:57"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row>
    <row r="327" spans="1:57"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row>
    <row r="328" spans="1:57"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row>
    <row r="329" spans="1:57"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row>
    <row r="330" spans="1:57"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row>
    <row r="331" spans="1:57"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row>
    <row r="332" spans="1:57"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row>
    <row r="333" spans="1:57"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row>
    <row r="334" spans="1:57"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row>
    <row r="335" spans="1:57"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row>
    <row r="336" spans="1:57"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row>
    <row r="337" spans="1:57"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row>
    <row r="338" spans="1:57"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row>
    <row r="339" spans="1:57"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row>
    <row r="340" spans="1:57"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row>
    <row r="341" spans="1:57"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row>
    <row r="342" spans="1:57"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row>
    <row r="343" spans="1:57"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row>
    <row r="344" spans="1:57"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row>
    <row r="345" spans="1:57"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row>
    <row r="346" spans="1:57"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row>
    <row r="347" spans="1:57"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row>
    <row r="348" spans="1:57"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row>
    <row r="349" spans="1:57"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row>
    <row r="350" spans="1:57"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row>
    <row r="351" spans="1:57"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row>
    <row r="352" spans="1:57"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row>
    <row r="353" spans="1:57"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row>
    <row r="354" spans="1:57"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row>
    <row r="355" spans="1:57"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row>
    <row r="356" spans="1:57"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row>
    <row r="357" spans="1:57"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row>
    <row r="358" spans="1:57"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row>
    <row r="359" spans="1:57"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row>
    <row r="360" spans="1:57"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row>
    <row r="361" spans="1:57"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row>
    <row r="362" spans="1:57"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row>
    <row r="363" spans="1:57"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row>
    <row r="364" spans="1:57"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row>
    <row r="365" spans="1:57"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row>
    <row r="366" spans="1:57"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row>
    <row r="367" spans="1:57"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row>
    <row r="368" spans="1:57"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row>
    <row r="369" spans="1:57"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row>
    <row r="370" spans="1:57"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row>
    <row r="371" spans="1:57"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row>
    <row r="372" spans="1:57"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row>
    <row r="373" spans="1:57"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row>
    <row r="374" spans="1:57"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row>
    <row r="375" spans="1:57"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row>
    <row r="376" spans="1:57"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row>
    <row r="377" spans="1:57"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row>
    <row r="378" spans="1:57"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row>
    <row r="379" spans="1:57"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row>
    <row r="380" spans="1:57"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row>
    <row r="381" spans="1:57"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row>
    <row r="382" spans="1:57"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row>
    <row r="383" spans="1:57"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row>
    <row r="384" spans="1:57"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row>
    <row r="385" spans="1:57"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row>
    <row r="386" spans="1:57"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row>
    <row r="387" spans="1:57"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row>
    <row r="388" spans="1:57"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row>
    <row r="389" spans="1:57"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row>
    <row r="390" spans="1:57"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row>
    <row r="391" spans="1:57"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row>
    <row r="392" spans="1:57"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row>
    <row r="393" spans="1:57"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row>
    <row r="394" spans="1:57"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row>
    <row r="395" spans="1:57"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row>
    <row r="396" spans="1:57"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row>
    <row r="397" spans="1:57"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row>
    <row r="398" spans="1:57"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row>
    <row r="399" spans="1:57"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row>
    <row r="400" spans="1:57"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row>
    <row r="401" spans="1:57"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row>
    <row r="402" spans="1:57"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row>
    <row r="403" spans="1:57"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row>
    <row r="404" spans="1:57"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row>
    <row r="405" spans="1:57"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row>
    <row r="406" spans="1:57"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row>
    <row r="407" spans="1:57" x14ac:dyDescent="0.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row>
    <row r="408" spans="1:57" x14ac:dyDescent="0.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row>
    <row r="409" spans="1:57" x14ac:dyDescent="0.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row>
    <row r="410" spans="1:57" x14ac:dyDescent="0.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row>
    <row r="411" spans="1:57" x14ac:dyDescent="0.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row>
    <row r="412" spans="1:57" x14ac:dyDescent="0.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row>
    <row r="413" spans="1:57" x14ac:dyDescent="0.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row>
    <row r="414" spans="1:57" x14ac:dyDescent="0.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row>
    <row r="415" spans="1:57" x14ac:dyDescent="0.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row>
    <row r="416" spans="1:57" x14ac:dyDescent="0.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row>
    <row r="417" spans="1:57" x14ac:dyDescent="0.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row>
    <row r="418" spans="1:57" x14ac:dyDescent="0.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row>
    <row r="419" spans="1:57" x14ac:dyDescent="0.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row>
    <row r="420" spans="1:57" x14ac:dyDescent="0.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row>
    <row r="421" spans="1:57" x14ac:dyDescent="0.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row>
    <row r="422" spans="1:57" x14ac:dyDescent="0.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row>
    <row r="423" spans="1:57" x14ac:dyDescent="0.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row>
    <row r="424" spans="1:57" x14ac:dyDescent="0.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row>
    <row r="425" spans="1:57" x14ac:dyDescent="0.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row>
    <row r="426" spans="1:57" x14ac:dyDescent="0.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row>
    <row r="427" spans="1:57" x14ac:dyDescent="0.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row>
    <row r="428" spans="1:57" x14ac:dyDescent="0.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row>
    <row r="429" spans="1:57" x14ac:dyDescent="0.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row>
    <row r="430" spans="1:57" x14ac:dyDescent="0.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row>
    <row r="431" spans="1:57" x14ac:dyDescent="0.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row>
    <row r="432" spans="1:57" x14ac:dyDescent="0.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row>
    <row r="433" spans="1:57" x14ac:dyDescent="0.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row>
    <row r="434" spans="1:57" x14ac:dyDescent="0.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row>
    <row r="435" spans="1:57" x14ac:dyDescent="0.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row>
    <row r="436" spans="1:57" x14ac:dyDescent="0.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row>
    <row r="437" spans="1:57" x14ac:dyDescent="0.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row>
    <row r="438" spans="1:57" x14ac:dyDescent="0.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row>
    <row r="439" spans="1:57" x14ac:dyDescent="0.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row>
    <row r="440" spans="1:57" x14ac:dyDescent="0.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row>
    <row r="441" spans="1:57" x14ac:dyDescent="0.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row>
    <row r="442" spans="1:57" x14ac:dyDescent="0.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row>
    <row r="443" spans="1:57" x14ac:dyDescent="0.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row>
    <row r="444" spans="1:57" x14ac:dyDescent="0.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row>
    <row r="445" spans="1:57" x14ac:dyDescent="0.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row>
    <row r="446" spans="1:57" x14ac:dyDescent="0.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row>
    <row r="447" spans="1:57" x14ac:dyDescent="0.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row>
    <row r="448" spans="1:57" x14ac:dyDescent="0.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row>
    <row r="449" spans="1:57" x14ac:dyDescent="0.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row>
    <row r="450" spans="1:57" x14ac:dyDescent="0.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row>
    <row r="451" spans="1:57" x14ac:dyDescent="0.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row>
    <row r="452" spans="1:57" x14ac:dyDescent="0.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row>
    <row r="453" spans="1:57" x14ac:dyDescent="0.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row>
    <row r="454" spans="1:57" x14ac:dyDescent="0.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row>
    <row r="455" spans="1:57" x14ac:dyDescent="0.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row>
    <row r="456" spans="1:57" x14ac:dyDescent="0.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row>
    <row r="457" spans="1:57" x14ac:dyDescent="0.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row>
    <row r="458" spans="1:57" x14ac:dyDescent="0.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row>
    <row r="459" spans="1:57" x14ac:dyDescent="0.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row>
    <row r="460" spans="1:57" x14ac:dyDescent="0.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row>
    <row r="461" spans="1:57" x14ac:dyDescent="0.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row>
    <row r="462" spans="1:57" x14ac:dyDescent="0.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row>
    <row r="463" spans="1:57" x14ac:dyDescent="0.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row>
    <row r="464" spans="1:57" x14ac:dyDescent="0.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row>
    <row r="465" spans="1:57" x14ac:dyDescent="0.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row>
    <row r="466" spans="1:57" x14ac:dyDescent="0.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row>
    <row r="467" spans="1:57" x14ac:dyDescent="0.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row>
    <row r="468" spans="1:57" x14ac:dyDescent="0.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row>
    <row r="469" spans="1:57" x14ac:dyDescent="0.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row>
    <row r="470" spans="1:57" x14ac:dyDescent="0.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row>
    <row r="471" spans="1:57" x14ac:dyDescent="0.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row>
    <row r="472" spans="1:57" x14ac:dyDescent="0.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row>
    <row r="473" spans="1:57" x14ac:dyDescent="0.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row>
    <row r="474" spans="1:57" x14ac:dyDescent="0.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row>
    <row r="475" spans="1:57" x14ac:dyDescent="0.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row>
    <row r="476" spans="1:57" x14ac:dyDescent="0.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row>
    <row r="477" spans="1:57" x14ac:dyDescent="0.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row>
    <row r="478" spans="1:57" x14ac:dyDescent="0.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row>
    <row r="479" spans="1:57" x14ac:dyDescent="0.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row>
    <row r="480" spans="1:57" x14ac:dyDescent="0.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row>
    <row r="481" spans="1:57" x14ac:dyDescent="0.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row>
    <row r="482" spans="1:57" x14ac:dyDescent="0.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row>
    <row r="483" spans="1:57" x14ac:dyDescent="0.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row>
    <row r="484" spans="1:57" x14ac:dyDescent="0.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row>
    <row r="485" spans="1:57" x14ac:dyDescent="0.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row>
    <row r="486" spans="1:57" x14ac:dyDescent="0.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row>
    <row r="487" spans="1:57" x14ac:dyDescent="0.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row>
    <row r="488" spans="1:57" x14ac:dyDescent="0.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row>
    <row r="489" spans="1:57" x14ac:dyDescent="0.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row>
    <row r="490" spans="1:57" x14ac:dyDescent="0.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row>
    <row r="491" spans="1:57" x14ac:dyDescent="0.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row>
    <row r="492" spans="1:57" x14ac:dyDescent="0.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row>
    <row r="493" spans="1:57" x14ac:dyDescent="0.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row>
    <row r="494" spans="1:57" x14ac:dyDescent="0.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row>
    <row r="495" spans="1:57" x14ac:dyDescent="0.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row>
    <row r="496" spans="1:57" x14ac:dyDescent="0.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row>
    <row r="497" spans="1:57" x14ac:dyDescent="0.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row>
    <row r="498" spans="1:57" x14ac:dyDescent="0.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row>
    <row r="499" spans="1:57" x14ac:dyDescent="0.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row>
    <row r="500" spans="1:57" x14ac:dyDescent="0.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row>
    <row r="501" spans="1:57" x14ac:dyDescent="0.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row>
    <row r="502" spans="1:57" x14ac:dyDescent="0.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row>
    <row r="503" spans="1:57" x14ac:dyDescent="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row>
    <row r="504" spans="1:57" x14ac:dyDescent="0.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row>
    <row r="505" spans="1:57" x14ac:dyDescent="0.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row>
    <row r="506" spans="1:57" x14ac:dyDescent="0.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row>
    <row r="507" spans="1:57" x14ac:dyDescent="0.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row>
    <row r="508" spans="1:57" x14ac:dyDescent="0.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row>
    <row r="509" spans="1:57" x14ac:dyDescent="0.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row>
    <row r="510" spans="1:57" x14ac:dyDescent="0.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row>
    <row r="511" spans="1:57" x14ac:dyDescent="0.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row>
    <row r="512" spans="1:57" x14ac:dyDescent="0.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row>
    <row r="513" spans="1:57" x14ac:dyDescent="0.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row>
    <row r="514" spans="1:57" x14ac:dyDescent="0.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row>
    <row r="515" spans="1:57" x14ac:dyDescent="0.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row>
    <row r="516" spans="1:57" x14ac:dyDescent="0.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row>
    <row r="517" spans="1:57" x14ac:dyDescent="0.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row>
    <row r="518" spans="1:57" x14ac:dyDescent="0.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row>
    <row r="519" spans="1:57" x14ac:dyDescent="0.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row>
    <row r="520" spans="1:57" x14ac:dyDescent="0.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row>
    <row r="521" spans="1:57" x14ac:dyDescent="0.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row>
    <row r="522" spans="1:57" x14ac:dyDescent="0.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row>
    <row r="523" spans="1:57" x14ac:dyDescent="0.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row>
    <row r="524" spans="1:57" x14ac:dyDescent="0.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row>
    <row r="525" spans="1:57" x14ac:dyDescent="0.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row>
    <row r="526" spans="1:57" x14ac:dyDescent="0.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row>
    <row r="527" spans="1:57" x14ac:dyDescent="0.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row>
    <row r="528" spans="1:57" x14ac:dyDescent="0.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row>
    <row r="529" spans="1:57" x14ac:dyDescent="0.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row>
    <row r="530" spans="1:57" x14ac:dyDescent="0.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row>
    <row r="531" spans="1:57" x14ac:dyDescent="0.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row>
    <row r="532" spans="1:57" x14ac:dyDescent="0.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row>
    <row r="533" spans="1:57" x14ac:dyDescent="0.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row>
    <row r="534" spans="1:57" x14ac:dyDescent="0.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row>
    <row r="535" spans="1:57" x14ac:dyDescent="0.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row>
    <row r="536" spans="1:57" x14ac:dyDescent="0.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row>
    <row r="537" spans="1:57" x14ac:dyDescent="0.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row>
    <row r="538" spans="1:57" x14ac:dyDescent="0.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row>
    <row r="539" spans="1:57" x14ac:dyDescent="0.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row>
    <row r="540" spans="1:57" x14ac:dyDescent="0.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row>
    <row r="541" spans="1:57" x14ac:dyDescent="0.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row>
    <row r="542" spans="1:57" x14ac:dyDescent="0.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row>
    <row r="543" spans="1:57" x14ac:dyDescent="0.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row>
    <row r="544" spans="1:57" x14ac:dyDescent="0.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row>
    <row r="545" spans="1:57" x14ac:dyDescent="0.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row>
    <row r="546" spans="1:57" x14ac:dyDescent="0.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row>
    <row r="547" spans="1:57" x14ac:dyDescent="0.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row>
    <row r="548" spans="1:57" x14ac:dyDescent="0.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row>
    <row r="549" spans="1:57" x14ac:dyDescent="0.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row>
    <row r="550" spans="1:57" x14ac:dyDescent="0.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row>
    <row r="551" spans="1:57" x14ac:dyDescent="0.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row>
    <row r="552" spans="1:57" x14ac:dyDescent="0.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row>
    <row r="553" spans="1:57" x14ac:dyDescent="0.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row>
    <row r="554" spans="1:57" x14ac:dyDescent="0.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row>
    <row r="555" spans="1:57" x14ac:dyDescent="0.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row>
    <row r="556" spans="1:57" x14ac:dyDescent="0.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row>
    <row r="557" spans="1:57" x14ac:dyDescent="0.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row>
    <row r="558" spans="1:57" x14ac:dyDescent="0.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row>
    <row r="559" spans="1:57" x14ac:dyDescent="0.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row>
    <row r="560" spans="1:57" x14ac:dyDescent="0.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row>
    <row r="561" spans="1:57" x14ac:dyDescent="0.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row>
    <row r="562" spans="1:57" x14ac:dyDescent="0.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row>
    <row r="563" spans="1:57" x14ac:dyDescent="0.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row>
    <row r="564" spans="1:57" x14ac:dyDescent="0.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row>
    <row r="565" spans="1:57" x14ac:dyDescent="0.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row>
    <row r="566" spans="1:57" x14ac:dyDescent="0.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row>
    <row r="567" spans="1:57" x14ac:dyDescent="0.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row>
    <row r="568" spans="1:57" x14ac:dyDescent="0.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row>
    <row r="569" spans="1:57" x14ac:dyDescent="0.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row>
    <row r="570" spans="1:57" x14ac:dyDescent="0.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row>
    <row r="571" spans="1:57" x14ac:dyDescent="0.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row>
    <row r="572" spans="1:57" x14ac:dyDescent="0.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row>
    <row r="573" spans="1:57" x14ac:dyDescent="0.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row>
    <row r="574" spans="1:57" x14ac:dyDescent="0.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row>
    <row r="575" spans="1:57" x14ac:dyDescent="0.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row>
    <row r="576" spans="1:57" x14ac:dyDescent="0.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row>
    <row r="577" spans="1:57" x14ac:dyDescent="0.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row>
    <row r="578" spans="1:57" x14ac:dyDescent="0.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row>
    <row r="579" spans="1:57" x14ac:dyDescent="0.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row>
    <row r="580" spans="1:57" x14ac:dyDescent="0.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row>
    <row r="581" spans="1:57" x14ac:dyDescent="0.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row>
    <row r="582" spans="1:57" x14ac:dyDescent="0.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row>
    <row r="583" spans="1:57" x14ac:dyDescent="0.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row>
    <row r="584" spans="1:57" x14ac:dyDescent="0.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row>
    <row r="585" spans="1:57" x14ac:dyDescent="0.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row>
    <row r="586" spans="1:57" x14ac:dyDescent="0.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row>
    <row r="587" spans="1:57" x14ac:dyDescent="0.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row>
    <row r="588" spans="1:57" x14ac:dyDescent="0.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row>
    <row r="589" spans="1:57" x14ac:dyDescent="0.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row>
    <row r="590" spans="1:57" x14ac:dyDescent="0.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row>
    <row r="591" spans="1:57" x14ac:dyDescent="0.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row>
    <row r="592" spans="1:57" x14ac:dyDescent="0.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row>
    <row r="593" spans="1:57" x14ac:dyDescent="0.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row>
    <row r="594" spans="1:57" x14ac:dyDescent="0.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row>
    <row r="595" spans="1:57" x14ac:dyDescent="0.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row>
    <row r="596" spans="1:57" x14ac:dyDescent="0.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row>
    <row r="597" spans="1:57" x14ac:dyDescent="0.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row>
    <row r="598" spans="1:57" x14ac:dyDescent="0.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row>
    <row r="599" spans="1:57" x14ac:dyDescent="0.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row>
    <row r="600" spans="1:57" x14ac:dyDescent="0.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row>
    <row r="601" spans="1:57" x14ac:dyDescent="0.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row>
    <row r="602" spans="1:57" x14ac:dyDescent="0.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row>
    <row r="603" spans="1:57" x14ac:dyDescent="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row>
    <row r="604" spans="1:57" x14ac:dyDescent="0.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row>
    <row r="605" spans="1:57" x14ac:dyDescent="0.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row>
    <row r="606" spans="1:57" x14ac:dyDescent="0.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row>
    <row r="607" spans="1:57" x14ac:dyDescent="0.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row>
    <row r="608" spans="1:57" x14ac:dyDescent="0.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row>
    <row r="609" spans="1:57" x14ac:dyDescent="0.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row>
    <row r="610" spans="1:57" x14ac:dyDescent="0.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row>
    <row r="611" spans="1:57" x14ac:dyDescent="0.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row>
    <row r="612" spans="1:57" x14ac:dyDescent="0.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row>
    <row r="613" spans="1:57" x14ac:dyDescent="0.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row>
    <row r="614" spans="1:57" x14ac:dyDescent="0.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row>
    <row r="615" spans="1:57" x14ac:dyDescent="0.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row>
    <row r="616" spans="1:57" x14ac:dyDescent="0.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row>
    <row r="617" spans="1:57" x14ac:dyDescent="0.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row>
    <row r="618" spans="1:57" x14ac:dyDescent="0.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row>
    <row r="619" spans="1:57" x14ac:dyDescent="0.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row>
    <row r="620" spans="1:57" x14ac:dyDescent="0.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row>
    <row r="621" spans="1:57" x14ac:dyDescent="0.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row>
    <row r="622" spans="1:57" x14ac:dyDescent="0.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row>
    <row r="623" spans="1:57" x14ac:dyDescent="0.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row>
    <row r="624" spans="1:57" x14ac:dyDescent="0.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row>
    <row r="625" spans="1:57" x14ac:dyDescent="0.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row>
    <row r="626" spans="1:57" x14ac:dyDescent="0.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row>
    <row r="627" spans="1:57" x14ac:dyDescent="0.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row>
    <row r="628" spans="1:57" x14ac:dyDescent="0.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row>
    <row r="629" spans="1:57" x14ac:dyDescent="0.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row>
    <row r="630" spans="1:57" x14ac:dyDescent="0.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row>
    <row r="631" spans="1:57" x14ac:dyDescent="0.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row>
    <row r="632" spans="1:57" x14ac:dyDescent="0.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row>
    <row r="633" spans="1:57" x14ac:dyDescent="0.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row>
    <row r="634" spans="1:57" x14ac:dyDescent="0.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row>
    <row r="635" spans="1:57" x14ac:dyDescent="0.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row>
    <row r="636" spans="1:57" x14ac:dyDescent="0.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row>
    <row r="637" spans="1:57" x14ac:dyDescent="0.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row>
    <row r="638" spans="1:57" x14ac:dyDescent="0.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row>
    <row r="639" spans="1:57" x14ac:dyDescent="0.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row>
    <row r="640" spans="1:57" x14ac:dyDescent="0.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row>
    <row r="641" spans="1:57" x14ac:dyDescent="0.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row>
    <row r="642" spans="1:57" x14ac:dyDescent="0.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row>
    <row r="643" spans="1:57" x14ac:dyDescent="0.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row>
    <row r="644" spans="1:57" x14ac:dyDescent="0.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row>
    <row r="645" spans="1:57" x14ac:dyDescent="0.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row>
    <row r="646" spans="1:57" x14ac:dyDescent="0.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row>
    <row r="647" spans="1:57" x14ac:dyDescent="0.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row>
    <row r="648" spans="1:57" x14ac:dyDescent="0.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row>
    <row r="649" spans="1:57" x14ac:dyDescent="0.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row>
    <row r="650" spans="1:57" x14ac:dyDescent="0.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row>
    <row r="651" spans="1:57" x14ac:dyDescent="0.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row>
    <row r="652" spans="1:57" x14ac:dyDescent="0.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row>
    <row r="653" spans="1:57" x14ac:dyDescent="0.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row>
    <row r="654" spans="1:57" x14ac:dyDescent="0.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row>
    <row r="655" spans="1:57" x14ac:dyDescent="0.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row>
    <row r="656" spans="1:57" x14ac:dyDescent="0.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row>
    <row r="657" spans="1:57" x14ac:dyDescent="0.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row>
    <row r="658" spans="1:57" x14ac:dyDescent="0.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row>
    <row r="659" spans="1:57" x14ac:dyDescent="0.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row>
    <row r="660" spans="1:57" x14ac:dyDescent="0.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row>
    <row r="661" spans="1:57" x14ac:dyDescent="0.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row>
    <row r="662" spans="1:57" x14ac:dyDescent="0.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row>
    <row r="663" spans="1:57" x14ac:dyDescent="0.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row>
    <row r="664" spans="1:57" x14ac:dyDescent="0.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row>
    <row r="665" spans="1:57" x14ac:dyDescent="0.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row>
    <row r="666" spans="1:57" x14ac:dyDescent="0.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row>
    <row r="667" spans="1:57" x14ac:dyDescent="0.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row>
    <row r="668" spans="1:57" x14ac:dyDescent="0.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row>
    <row r="669" spans="1:57" x14ac:dyDescent="0.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row>
    <row r="670" spans="1:57" x14ac:dyDescent="0.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row>
    <row r="671" spans="1:57" x14ac:dyDescent="0.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row>
    <row r="672" spans="1:57" x14ac:dyDescent="0.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row>
    <row r="673" spans="1:57" x14ac:dyDescent="0.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row>
    <row r="674" spans="1:57" x14ac:dyDescent="0.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row>
    <row r="675" spans="1:57" x14ac:dyDescent="0.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row>
    <row r="676" spans="1:57" x14ac:dyDescent="0.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row>
    <row r="677" spans="1:57" x14ac:dyDescent="0.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row>
    <row r="678" spans="1:57" x14ac:dyDescent="0.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row>
    <row r="679" spans="1:57" x14ac:dyDescent="0.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row>
    <row r="680" spans="1:57" x14ac:dyDescent="0.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row>
    <row r="681" spans="1:57" x14ac:dyDescent="0.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row>
    <row r="682" spans="1:57" x14ac:dyDescent="0.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row>
    <row r="683" spans="1:57" x14ac:dyDescent="0.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row>
    <row r="684" spans="1:57" x14ac:dyDescent="0.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row>
    <row r="685" spans="1:57" x14ac:dyDescent="0.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row>
    <row r="686" spans="1:57" x14ac:dyDescent="0.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row>
    <row r="687" spans="1:57" x14ac:dyDescent="0.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row>
    <row r="688" spans="1:57" x14ac:dyDescent="0.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row>
    <row r="689" spans="1:57" x14ac:dyDescent="0.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row>
    <row r="690" spans="1:57" x14ac:dyDescent="0.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row>
    <row r="691" spans="1:57" x14ac:dyDescent="0.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row>
    <row r="692" spans="1:57" x14ac:dyDescent="0.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row>
    <row r="693" spans="1:57" x14ac:dyDescent="0.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row>
    <row r="694" spans="1:57" x14ac:dyDescent="0.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row>
    <row r="695" spans="1:57" x14ac:dyDescent="0.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row>
    <row r="696" spans="1:57" x14ac:dyDescent="0.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row>
    <row r="697" spans="1:57" x14ac:dyDescent="0.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row>
    <row r="698" spans="1:57" x14ac:dyDescent="0.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row>
    <row r="699" spans="1:57" x14ac:dyDescent="0.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row>
    <row r="700" spans="1:57" x14ac:dyDescent="0.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row>
    <row r="701" spans="1:57" x14ac:dyDescent="0.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row>
    <row r="702" spans="1:57" x14ac:dyDescent="0.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row>
    <row r="703" spans="1:57" x14ac:dyDescent="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row>
    <row r="704" spans="1:57" x14ac:dyDescent="0.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row>
    <row r="705" spans="1:57" x14ac:dyDescent="0.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row>
    <row r="706" spans="1:57" x14ac:dyDescent="0.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row>
    <row r="707" spans="1:57" x14ac:dyDescent="0.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row>
    <row r="708" spans="1:57" x14ac:dyDescent="0.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row>
    <row r="709" spans="1:57" x14ac:dyDescent="0.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row>
    <row r="710" spans="1:57" x14ac:dyDescent="0.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row>
    <row r="711" spans="1:57" x14ac:dyDescent="0.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row>
    <row r="712" spans="1:57" x14ac:dyDescent="0.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row>
    <row r="713" spans="1:57" x14ac:dyDescent="0.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row>
    <row r="714" spans="1:57" x14ac:dyDescent="0.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row>
    <row r="715" spans="1:57" x14ac:dyDescent="0.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row>
    <row r="716" spans="1:57" x14ac:dyDescent="0.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row>
    <row r="717" spans="1:57" x14ac:dyDescent="0.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row>
    <row r="718" spans="1:57" x14ac:dyDescent="0.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row>
    <row r="719" spans="1:57" x14ac:dyDescent="0.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row>
    <row r="720" spans="1:57" x14ac:dyDescent="0.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row>
    <row r="721" spans="1:57" x14ac:dyDescent="0.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row>
    <row r="722" spans="1:57" x14ac:dyDescent="0.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row>
    <row r="723" spans="1:57" x14ac:dyDescent="0.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row>
    <row r="724" spans="1:57" x14ac:dyDescent="0.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row>
    <row r="725" spans="1:57" x14ac:dyDescent="0.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row>
    <row r="726" spans="1:57" x14ac:dyDescent="0.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row>
    <row r="727" spans="1:57" x14ac:dyDescent="0.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row>
    <row r="728" spans="1:57" x14ac:dyDescent="0.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row>
    <row r="729" spans="1:57" x14ac:dyDescent="0.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row>
    <row r="730" spans="1:57" x14ac:dyDescent="0.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row>
    <row r="731" spans="1:57" x14ac:dyDescent="0.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row>
    <row r="732" spans="1:57" x14ac:dyDescent="0.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row>
    <row r="733" spans="1:57" x14ac:dyDescent="0.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row>
    <row r="734" spans="1:57" x14ac:dyDescent="0.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row>
    <row r="735" spans="1:57" x14ac:dyDescent="0.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row>
    <row r="736" spans="1:57" x14ac:dyDescent="0.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row>
    <row r="737" spans="1:57" x14ac:dyDescent="0.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row>
    <row r="738" spans="1:57" x14ac:dyDescent="0.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row>
    <row r="739" spans="1:57" x14ac:dyDescent="0.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row>
    <row r="740" spans="1:57" x14ac:dyDescent="0.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row>
    <row r="741" spans="1:57" x14ac:dyDescent="0.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row>
  </sheetData>
  <mergeCells count="2">
    <mergeCell ref="D60:E60"/>
    <mergeCell ref="M32:O3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8CBC79-B994-418F-96CC-C5F28A95A6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Data_set 2</vt:lpstr>
      <vt:lpstr>Gender Distribution</vt:lpstr>
      <vt:lpstr>Investment Preference &amp; Reasons</vt:lpstr>
      <vt:lpstr>Objective &amp; Source</vt:lpstr>
      <vt:lpstr>Duration &amp; Expectation</vt:lpstr>
      <vt:lpstr>Data Preparation for Task 5</vt:lpstr>
      <vt:lpstr>Correlation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 Girdhar</dc:creator>
  <cp:lastModifiedBy>Keshav Girdhar</cp:lastModifiedBy>
  <dcterms:created xsi:type="dcterms:W3CDTF">2026-06-22T16:56:45Z</dcterms:created>
  <dcterms:modified xsi:type="dcterms:W3CDTF">2026-07-04T06:34:50Z</dcterms:modified>
</cp:coreProperties>
</file>